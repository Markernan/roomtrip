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Resumen" sheetId="2" state="visible" r:id="rId2"/>
    <sheet name="Requerimientos" sheetId="3" state="visible" r:id="rId3"/>
    <sheet name="Por rol" sheetId="4" state="visible" r:id="rId4"/>
  </sheets>
  <definedNames>
    <definedName name="_xlnm._FilterDatabase" localSheetId="2" hidden="1">'Requerimientos'!$A$5:$G$52</definedName>
    <definedName name="_xlnm.Print_Titles" localSheetId="2">'Requerimientos'!$5:$5</definedName>
    <definedName name="_xlnm.Print_Titles" localSheetId="3">'Por rol'!$5:$5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i val="1"/>
      <color rgb="0000696E"/>
      <sz val="9"/>
    </font>
    <font>
      <name val="Arial"/>
      <b val="1"/>
      <color rgb="00FFFFFF"/>
      <sz val="10"/>
    </font>
    <font>
      <name val="Arial"/>
      <color rgb="0037474F"/>
      <sz val="10"/>
    </font>
    <font>
      <name val="Arial"/>
      <b val="1"/>
      <color rgb="0000696E"/>
      <sz val="10"/>
    </font>
    <font>
      <name val="Arial"/>
      <b val="1"/>
      <color rgb="0000696E"/>
      <sz val="11"/>
    </font>
    <font>
      <name val="Arial"/>
      <color rgb="0000696E"/>
      <sz val="9"/>
    </font>
    <font>
      <name val="Arial"/>
      <b val="1"/>
      <color rgb="0000838F"/>
      <sz val="20"/>
    </font>
    <font>
      <name val="Arial"/>
      <b val="1"/>
      <color rgb="0037474F"/>
      <sz val="10"/>
    </font>
    <font>
      <name val="Arial"/>
      <i val="1"/>
      <color rgb="00827717"/>
      <sz val="9"/>
    </font>
  </fonts>
  <fills count="9">
    <fill>
      <patternFill/>
    </fill>
    <fill>
      <patternFill patternType="gray125"/>
    </fill>
    <fill>
      <patternFill patternType="solid">
        <fgColor rgb="0000838F"/>
      </patternFill>
    </fill>
    <fill>
      <patternFill patternType="solid">
        <fgColor rgb="004DB6AC"/>
      </patternFill>
    </fill>
    <fill>
      <patternFill patternType="solid">
        <fgColor rgb="0000696E"/>
      </patternFill>
    </fill>
    <fill>
      <patternFill patternType="solid">
        <fgColor rgb="00F7FBFB"/>
      </patternFill>
    </fill>
    <fill>
      <patternFill patternType="solid">
        <fgColor rgb="00B2DFDB"/>
      </patternFill>
    </fill>
    <fill>
      <patternFill patternType="solid">
        <fgColor rgb="00E0F2F1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7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5" fillId="8" borderId="1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 wrapText="1"/>
    </xf>
    <xf numFmtId="1" fontId="9" fillId="7" borderId="1" applyAlignment="1" pivotButton="0" quotePrefix="0" xfId="0">
      <alignment horizontal="center" vertical="center"/>
    </xf>
    <xf numFmtId="0" fontId="1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10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5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Arial"/>
        <b val="1"/>
        <color rgb="00B71C1C"/>
        <sz val="10"/>
      </font>
    </dxf>
    <dxf>
      <font>
        <name val="Arial"/>
        <color rgb="00E65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Requerimientos por rol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'Resumen'!B10</f>
            </strRef>
          </tx>
          <spPr>
            <a:ln>
              <a:prstDash val="solid"/>
            </a:ln>
          </spPr>
          <cat>
            <numRef>
              <f>'Resumen'!$A$11:$A$15</f>
            </numRef>
          </cat>
          <val>
            <numRef>
              <f>'Resumen'!$B$11:$B$15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30" customWidth="1" min="3" max="3"/>
    <col width="26" customWidth="1" min="4" max="4"/>
  </cols>
  <sheetData>
    <row r="1" ht="34" customHeight="1">
      <c r="A1" s="1" t="inlineStr">
        <is>
          <t>RoomTrip</t>
        </is>
      </c>
      <c r="B1" s="2" t="n"/>
      <c r="C1" s="2" t="n"/>
      <c r="D1" s="2" t="n"/>
    </row>
    <row r="2" ht="18" customHeight="1">
      <c r="A2" s="3" t="inlineStr">
        <is>
          <t>Sistema de gestión de reservas de alojamiento en hoteles</t>
        </is>
      </c>
      <c r="B2" s="4" t="n"/>
      <c r="C2" s="4" t="n"/>
      <c r="D2" s="4" t="n"/>
    </row>
    <row r="5" ht="22" customHeight="1">
      <c r="A5" s="5" t="inlineStr">
        <is>
          <t>Datos de la entrega</t>
        </is>
      </c>
      <c r="B5" s="6" t="n"/>
      <c r="C5" s="6" t="n"/>
      <c r="D5" s="6" t="n"/>
    </row>
    <row r="6" ht="24" customHeight="1">
      <c r="A6" s="7" t="inlineStr">
        <is>
          <t>Curso</t>
        </is>
      </c>
      <c r="B6" s="8" t="inlineStr">
        <is>
          <t>1TEL05 — Servicios y Aplicaciones para IoT</t>
        </is>
      </c>
      <c r="C6" s="9" t="n"/>
      <c r="D6" s="9" t="n"/>
    </row>
    <row r="7" ht="24" customHeight="1">
      <c r="A7" s="7" t="inlineStr">
        <is>
          <t>Carrera</t>
        </is>
      </c>
      <c r="B7" s="8" t="inlineStr">
        <is>
          <t>Ingeniería de las Telecomunicaciones — PUCP</t>
        </is>
      </c>
      <c r="C7" s="9" t="n"/>
      <c r="D7" s="9" t="n"/>
    </row>
    <row r="8" ht="24" customHeight="1">
      <c r="A8" s="7" t="inlineStr">
        <is>
          <t>Semestre</t>
        </is>
      </c>
      <c r="B8" s="8" t="inlineStr">
        <is>
          <t>2026-2</t>
        </is>
      </c>
      <c r="C8" s="9" t="n"/>
      <c r="D8" s="9" t="n"/>
    </row>
    <row r="9" ht="24" customHeight="1">
      <c r="A9" s="7" t="inlineStr">
        <is>
          <t>Proyecto</t>
        </is>
      </c>
      <c r="B9" s="8" t="inlineStr">
        <is>
          <t>RoomTrip</t>
        </is>
      </c>
      <c r="C9" s="9" t="n"/>
      <c r="D9" s="9" t="n"/>
    </row>
    <row r="10" ht="24" customHeight="1">
      <c r="A10" s="7" t="inlineStr">
        <is>
          <t>Entregable</t>
        </is>
      </c>
      <c r="B10" s="8" t="inlineStr">
        <is>
          <t>Lista de requerimientos</t>
        </is>
      </c>
      <c r="C10" s="9" t="n"/>
      <c r="D10" s="9" t="n"/>
    </row>
    <row r="11" ht="24" customHeight="1">
      <c r="A11" s="7" t="inlineStr">
        <is>
          <t>Fecha</t>
        </is>
      </c>
      <c r="B11" s="8" t="inlineStr">
        <is>
          <t>23/08/2026</t>
        </is>
      </c>
      <c r="C11" s="9" t="n"/>
      <c r="D11" s="9" t="n"/>
    </row>
    <row r="12" ht="24" customHeight="1">
      <c r="A12" s="7" t="inlineStr">
        <is>
          <t>Integrantes</t>
        </is>
      </c>
      <c r="B12" s="10" t="inlineStr"/>
      <c r="C12" s="9" t="n"/>
      <c r="D12" s="9" t="n"/>
    </row>
    <row r="13">
      <c r="A13" s="11" t="inlineStr">
        <is>
          <t>Las celdas resaltadas en amarillo son las que debe completar el equipo antes de entregar.</t>
        </is>
      </c>
    </row>
    <row r="15" ht="22" customHeight="1">
      <c r="A15" s="5" t="inlineStr">
        <is>
          <t>Descripción del sistema</t>
        </is>
      </c>
      <c r="B15" s="6" t="n"/>
      <c r="C15" s="6" t="n"/>
      <c r="D15" s="6" t="n"/>
    </row>
    <row r="16" ht="34" customHeight="1">
      <c r="A16" s="12" t="inlineStr">
        <is>
          <t>RoomTrip permite a un cliente consultar hoteles, habitaciones y servicios, reservar con tarjeta, comunicarse con el hotel por chat y solicitar un taxi gratuito al aeropuerto al hacer el checkout.</t>
        </is>
      </c>
    </row>
    <row r="17" ht="34" customHeight="1">
      <c r="A17" s="12" t="inlineStr">
        <is>
          <t>El sistema se compone de dos aplicaciones con persistencias separadas: una app móvil Android nativa en Java, usada por los cuatro roles, y una app web de gestión de taxistas que expone una API REST.</t>
        </is>
      </c>
    </row>
    <row r="18" ht="34" customHeight="1">
      <c r="A18" s="12" t="inlineStr">
        <is>
          <t>La app móvil no accede en ningún caso a la base de datos del sistema de taxistas: toda esa información se obtiene a través de la API REST.</t>
        </is>
      </c>
    </row>
    <row r="20" ht="22" customHeight="1">
      <c r="A20" s="5" t="inlineStr">
        <is>
          <t>Contenido del libro</t>
        </is>
      </c>
      <c r="B20" s="6" t="n"/>
      <c r="C20" s="6" t="n"/>
      <c r="D20" s="6" t="n"/>
    </row>
    <row r="21" ht="30" customHeight="1">
      <c r="A21" s="13" t="inlineStr">
        <is>
          <t>Hoja</t>
        </is>
      </c>
      <c r="B21" s="13" t="inlineStr">
        <is>
          <t>Contenido</t>
        </is>
      </c>
      <c r="C21" s="13" t="inlineStr"/>
      <c r="D21" s="13" t="inlineStr"/>
    </row>
    <row r="22" ht="28" customHeight="1">
      <c r="A22" s="14" t="inlineStr">
        <is>
          <t>Resumen</t>
        </is>
      </c>
      <c r="B22" s="8" t="inlineStr">
        <is>
          <t>Distribución de los requerimientos por rol, por módulo funcional y por tipo.</t>
        </is>
      </c>
      <c r="C22" s="15" t="n"/>
      <c r="D22" s="15" t="n"/>
    </row>
    <row r="23" ht="28" customHeight="1">
      <c r="A23" s="14" t="inlineStr">
        <is>
          <t>Requerimientos</t>
        </is>
      </c>
      <c r="B23" s="8" t="inlineStr">
        <is>
          <t>Catálogo completo con su criterio de aceptación y prioridad.</t>
        </is>
      </c>
      <c r="C23" s="15" t="n"/>
      <c r="D23" s="15" t="n"/>
    </row>
    <row r="24" ht="28" customHeight="1">
      <c r="A24" s="14" t="inlineStr">
        <is>
          <t>Por rol</t>
        </is>
      </c>
      <c r="B24" s="8" t="inlineStr">
        <is>
          <t>Los mismos requerimientos agrupados por actor del sistema.</t>
        </is>
      </c>
      <c r="C24" s="15" t="n"/>
      <c r="D24" s="15" t="n"/>
    </row>
    <row r="26" ht="22" customHeight="1">
      <c r="A26" s="5" t="inlineStr">
        <is>
          <t>Convenciones de identificación</t>
        </is>
      </c>
      <c r="B26" s="6" t="n"/>
      <c r="C26" s="6" t="n"/>
      <c r="D26" s="6" t="n"/>
    </row>
    <row r="27" ht="20" customHeight="1">
      <c r="A27" s="16" t="inlineStr">
        <is>
          <t>•   RF-SA-nn · requerimiento funcional del Superadmin.</t>
        </is>
      </c>
    </row>
    <row r="28" ht="20" customHeight="1">
      <c r="A28" s="16" t="inlineStr">
        <is>
          <t>•   RF-AH-nn · requerimiento funcional del Administrador de hotel.</t>
        </is>
      </c>
    </row>
    <row r="29" ht="20" customHeight="1">
      <c r="A29" s="16" t="inlineStr">
        <is>
          <t>•   RF-TX-nn · requerimiento funcional del Taxista.</t>
        </is>
      </c>
    </row>
    <row r="30" ht="20" customHeight="1">
      <c r="A30" s="16" t="inlineStr">
        <is>
          <t>•   RF-CL-nn · requerimiento funcional del Cliente.</t>
        </is>
      </c>
    </row>
    <row r="31" ht="20" customHeight="1">
      <c r="A31" s="16" t="inlineStr">
        <is>
          <t>•   RF-GN-nn · requerimiento funcional transversal a todos los roles.</t>
        </is>
      </c>
    </row>
    <row r="32" ht="20" customHeight="1">
      <c r="A32" s="16" t="inlineStr">
        <is>
          <t>•   RNF-nn · requerimiento no funcional del sistema.</t>
        </is>
      </c>
    </row>
  </sheetData>
  <mergeCells count="16">
    <mergeCell ref="A1:D1"/>
    <mergeCell ref="A5:D5"/>
    <mergeCell ref="A17:D17"/>
    <mergeCell ref="A18:D18"/>
    <mergeCell ref="A27:D27"/>
    <mergeCell ref="A31:D31"/>
    <mergeCell ref="A20:D20"/>
    <mergeCell ref="A26:D26"/>
    <mergeCell ref="A30:D30"/>
    <mergeCell ref="A15:D15"/>
    <mergeCell ref="A29:D29"/>
    <mergeCell ref="A2:D2"/>
    <mergeCell ref="A16:D16"/>
    <mergeCell ref="A28:D28"/>
    <mergeCell ref="A32:D3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4" customHeight="1">
      <c r="A1" s="1" t="inlineStr">
        <is>
          <t>RoomTrip · Resumen del alcance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1TEL05 Servicios y Aplicaciones para IoT · PUCP · Semestre 2026-2</t>
        </is>
      </c>
      <c r="B2" s="4" t="n"/>
      <c r="C2" s="4" t="n"/>
      <c r="D2" s="4" t="n"/>
      <c r="E2" s="4" t="n"/>
      <c r="F2" s="4" t="n"/>
    </row>
    <row r="3" ht="16" customHeight="1">
      <c r="A3" s="17" t="inlineStr">
        <is>
          <t>Distribución de los requerimientos por rol, por módulo funcional y por tipo.</t>
        </is>
      </c>
    </row>
    <row r="5" ht="22" customHeight="1">
      <c r="A5" s="5" t="inlineStr">
        <is>
          <t>Alcance del sistema</t>
        </is>
      </c>
      <c r="B5" s="6" t="n"/>
      <c r="C5" s="6" t="n"/>
      <c r="D5" s="6" t="n"/>
      <c r="E5" s="6" t="n"/>
      <c r="F5" s="6" t="n"/>
    </row>
    <row r="6" ht="30" customHeight="1">
      <c r="A6" s="18" t="inlineStr">
        <is>
          <t>Total de requerimientos</t>
        </is>
      </c>
      <c r="B6" s="18" t="inlineStr">
        <is>
          <t>Funcionales</t>
        </is>
      </c>
      <c r="C6" s="18" t="inlineStr">
        <is>
          <t>No funcionales</t>
        </is>
      </c>
      <c r="D6" s="18" t="inlineStr">
        <is>
          <t>Prioridad alta</t>
        </is>
      </c>
      <c r="E6" s="18" t="inlineStr">
        <is>
          <t>Prioridad media</t>
        </is>
      </c>
      <c r="F6" s="18" t="inlineStr">
        <is>
          <t>Módulos funcionales</t>
        </is>
      </c>
    </row>
    <row r="7" ht="36" customHeight="1">
      <c r="A7" s="19">
        <f>COUNTA(Requerimientos!$A$6:$A$52)</f>
        <v/>
      </c>
      <c r="B7" s="19">
        <f>COUNTIF(Requerimientos!$D$6:$D$52,"Funcional")</f>
        <v/>
      </c>
      <c r="C7" s="19">
        <f>COUNTIF(Requerimientos!$D$6:$D$52,"No funcional")</f>
        <v/>
      </c>
      <c r="D7" s="19">
        <f>COUNTIF(Requerimientos!$G$6:$G$52,"Alta")</f>
        <v/>
      </c>
      <c r="E7" s="19">
        <f>COUNTIF(Requerimientos!$G$6:$G$52,"Media")</f>
        <v/>
      </c>
      <c r="F7" s="19" t="n">
        <v>10</v>
      </c>
    </row>
    <row r="9" ht="22" customHeight="1">
      <c r="A9" s="5" t="inlineStr">
        <is>
          <t>Requerimientos por rol</t>
        </is>
      </c>
      <c r="B9" s="6" t="n"/>
      <c r="C9" s="6" t="n"/>
      <c r="D9" s="6" t="n"/>
      <c r="E9" s="6" t="n"/>
      <c r="F9" s="6" t="n"/>
    </row>
    <row r="10" ht="30" customHeight="1">
      <c r="A10" s="13" t="inlineStr">
        <is>
          <t>Rol</t>
        </is>
      </c>
      <c r="B10" s="13" t="inlineStr">
        <is>
          <t>Total</t>
        </is>
      </c>
      <c r="C10" s="13" t="inlineStr">
        <is>
          <t>Funcionales</t>
        </is>
      </c>
      <c r="D10" s="13" t="inlineStr">
        <is>
          <t>No funcionales</t>
        </is>
      </c>
      <c r="E10" s="13" t="inlineStr">
        <is>
          <t>Alta</t>
        </is>
      </c>
      <c r="F10" s="13" t="inlineStr">
        <is>
          <t>Media</t>
        </is>
      </c>
    </row>
    <row r="11">
      <c r="A11" s="20" t="inlineStr">
        <is>
          <t>Superadmin</t>
        </is>
      </c>
      <c r="B11" s="21">
        <f>COUNTIF(Requerimientos!$C$6:$C$52,$A11)</f>
        <v/>
      </c>
      <c r="C11" s="21">
        <f>COUNTIFS(Requerimientos!$C$6:$C$52,$A11,Requerimientos!$D$6:$D$52,"Funcional")</f>
        <v/>
      </c>
      <c r="D11" s="21">
        <f>COUNTIFS(Requerimientos!$C$6:$C$52,$A11,Requerimientos!$D$6:$D$52,"No funcional")</f>
        <v/>
      </c>
      <c r="E11" s="21">
        <f>COUNTIFS(Requerimientos!$C$6:$C$52,$A11,Requerimientos!$G$6:$G$52,"Alta")</f>
        <v/>
      </c>
      <c r="F11" s="21">
        <f>COUNTIFS(Requerimientos!$C$6:$C$52,$A11,Requerimientos!$G$6:$G$52,"Media")</f>
        <v/>
      </c>
    </row>
    <row r="12">
      <c r="A12" s="22" t="inlineStr">
        <is>
          <t>Administrador de hotel</t>
        </is>
      </c>
      <c r="B12" s="23">
        <f>COUNTIF(Requerimientos!$C$6:$C$52,$A12)</f>
        <v/>
      </c>
      <c r="C12" s="23">
        <f>COUNTIFS(Requerimientos!$C$6:$C$52,$A12,Requerimientos!$D$6:$D$52,"Funcional")</f>
        <v/>
      </c>
      <c r="D12" s="23">
        <f>COUNTIFS(Requerimientos!$C$6:$C$52,$A12,Requerimientos!$D$6:$D$52,"No funcional")</f>
        <v/>
      </c>
      <c r="E12" s="23">
        <f>COUNTIFS(Requerimientos!$C$6:$C$52,$A12,Requerimientos!$G$6:$G$52,"Alta")</f>
        <v/>
      </c>
      <c r="F12" s="23">
        <f>COUNTIFS(Requerimientos!$C$6:$C$52,$A12,Requerimientos!$G$6:$G$52,"Media")</f>
        <v/>
      </c>
    </row>
    <row r="13">
      <c r="A13" s="20" t="inlineStr">
        <is>
          <t>Taxista</t>
        </is>
      </c>
      <c r="B13" s="21">
        <f>COUNTIF(Requerimientos!$C$6:$C$52,$A13)</f>
        <v/>
      </c>
      <c r="C13" s="21">
        <f>COUNTIFS(Requerimientos!$C$6:$C$52,$A13,Requerimientos!$D$6:$D$52,"Funcional")</f>
        <v/>
      </c>
      <c r="D13" s="21">
        <f>COUNTIFS(Requerimientos!$C$6:$C$52,$A13,Requerimientos!$D$6:$D$52,"No funcional")</f>
        <v/>
      </c>
      <c r="E13" s="21">
        <f>COUNTIFS(Requerimientos!$C$6:$C$52,$A13,Requerimientos!$G$6:$G$52,"Alta")</f>
        <v/>
      </c>
      <c r="F13" s="21">
        <f>COUNTIFS(Requerimientos!$C$6:$C$52,$A13,Requerimientos!$G$6:$G$52,"Media")</f>
        <v/>
      </c>
    </row>
    <row r="14">
      <c r="A14" s="22" t="inlineStr">
        <is>
          <t>Cliente</t>
        </is>
      </c>
      <c r="B14" s="23">
        <f>COUNTIF(Requerimientos!$C$6:$C$52,$A14)</f>
        <v/>
      </c>
      <c r="C14" s="23">
        <f>COUNTIFS(Requerimientos!$C$6:$C$52,$A14,Requerimientos!$D$6:$D$52,"Funcional")</f>
        <v/>
      </c>
      <c r="D14" s="23">
        <f>COUNTIFS(Requerimientos!$C$6:$C$52,$A14,Requerimientos!$D$6:$D$52,"No funcional")</f>
        <v/>
      </c>
      <c r="E14" s="23">
        <f>COUNTIFS(Requerimientos!$C$6:$C$52,$A14,Requerimientos!$G$6:$G$52,"Alta")</f>
        <v/>
      </c>
      <c r="F14" s="23">
        <f>COUNTIFS(Requerimientos!$C$6:$C$52,$A14,Requerimientos!$G$6:$G$52,"Media")</f>
        <v/>
      </c>
    </row>
    <row r="15">
      <c r="A15" s="20" t="inlineStr">
        <is>
          <t>Transversal</t>
        </is>
      </c>
      <c r="B15" s="21">
        <f>COUNTIF(Requerimientos!$C$6:$C$52,$A15)</f>
        <v/>
      </c>
      <c r="C15" s="21">
        <f>COUNTIFS(Requerimientos!$C$6:$C$52,$A15,Requerimientos!$D$6:$D$52,"Funcional")</f>
        <v/>
      </c>
      <c r="D15" s="21">
        <f>COUNTIFS(Requerimientos!$C$6:$C$52,$A15,Requerimientos!$D$6:$D$52,"No funcional")</f>
        <v/>
      </c>
      <c r="E15" s="21">
        <f>COUNTIFS(Requerimientos!$C$6:$C$52,$A15,Requerimientos!$G$6:$G$52,"Alta")</f>
        <v/>
      </c>
      <c r="F15" s="21">
        <f>COUNTIFS(Requerimientos!$C$6:$C$52,$A15,Requerimientos!$G$6:$G$52,"Media")</f>
        <v/>
      </c>
    </row>
    <row r="16">
      <c r="A16" s="24" t="inlineStr">
        <is>
          <t>Total</t>
        </is>
      </c>
      <c r="B16" s="25">
        <f>SUM(B11:B15)</f>
        <v/>
      </c>
      <c r="C16" s="25">
        <f>SUM(C11:C15)</f>
        <v/>
      </c>
      <c r="D16" s="25">
        <f>SUM(D11:D15)</f>
        <v/>
      </c>
      <c r="E16" s="25">
        <f>SUM(E11:E15)</f>
        <v/>
      </c>
      <c r="F16" s="25">
        <f>SUM(F11:F15)</f>
        <v/>
      </c>
    </row>
    <row r="18" ht="22" customHeight="1">
      <c r="A18" s="5" t="inlineStr">
        <is>
          <t>Requerimientos por módulo funcional</t>
        </is>
      </c>
      <c r="B18" s="6" t="n"/>
      <c r="C18" s="6" t="n"/>
      <c r="D18" s="6" t="n"/>
      <c r="E18" s="6" t="n"/>
      <c r="F18" s="6" t="n"/>
    </row>
    <row r="19" ht="30" customHeight="1">
      <c r="A19" s="13" t="inlineStr">
        <is>
          <t>Módulo</t>
        </is>
      </c>
      <c r="B19" s="13" t="inlineStr">
        <is>
          <t>Total</t>
        </is>
      </c>
      <c r="C19" s="13" t="inlineStr">
        <is>
          <t>Funcionales</t>
        </is>
      </c>
      <c r="D19" s="13" t="inlineStr">
        <is>
          <t>No funcionales</t>
        </is>
      </c>
      <c r="E19" s="13" t="inlineStr">
        <is>
          <t>Alta</t>
        </is>
      </c>
      <c r="F19" s="13" t="inlineStr">
        <is>
          <t>Media</t>
        </is>
      </c>
    </row>
    <row r="20">
      <c r="A20" s="26" t="inlineStr">
        <is>
          <t>M1 Autenticación</t>
        </is>
      </c>
      <c r="B20" s="23">
        <f>COUNTIF(Requerimientos!$B$6:$B$52,$A20)</f>
        <v/>
      </c>
      <c r="C20" s="23">
        <f>COUNTIFS(Requerimientos!$B$6:$B$52,$A20,Requerimientos!$D$6:$D$52,"Funcional")</f>
        <v/>
      </c>
      <c r="D20" s="23">
        <f>COUNTIFS(Requerimientos!$B$6:$B$52,$A20,Requerimientos!$D$6:$D$52,"No funcional")</f>
        <v/>
      </c>
      <c r="E20" s="23">
        <f>COUNTIFS(Requerimientos!$B$6:$B$52,$A20,Requerimientos!$G$6:$G$52,"Alta")</f>
        <v/>
      </c>
      <c r="F20" s="23">
        <f>COUNTIFS(Requerimientos!$B$6:$B$52,$A20,Requerimientos!$G$6:$G$52,"Media")</f>
        <v/>
      </c>
    </row>
    <row r="21">
      <c r="A21" s="27" t="inlineStr">
        <is>
          <t>M2 Gestión de usuarios</t>
        </is>
      </c>
      <c r="B21" s="21">
        <f>COUNTIF(Requerimientos!$B$6:$B$52,$A21)</f>
        <v/>
      </c>
      <c r="C21" s="21">
        <f>COUNTIFS(Requerimientos!$B$6:$B$52,$A21,Requerimientos!$D$6:$D$52,"Funcional")</f>
        <v/>
      </c>
      <c r="D21" s="21">
        <f>COUNTIFS(Requerimientos!$B$6:$B$52,$A21,Requerimientos!$D$6:$D$52,"No funcional")</f>
        <v/>
      </c>
      <c r="E21" s="21">
        <f>COUNTIFS(Requerimientos!$B$6:$B$52,$A21,Requerimientos!$G$6:$G$52,"Alta")</f>
        <v/>
      </c>
      <c r="F21" s="21">
        <f>COUNTIFS(Requerimientos!$B$6:$B$52,$A21,Requerimientos!$G$6:$G$52,"Media")</f>
        <v/>
      </c>
    </row>
    <row r="22">
      <c r="A22" s="26" t="inlineStr">
        <is>
          <t>M3 Catálogo</t>
        </is>
      </c>
      <c r="B22" s="23">
        <f>COUNTIF(Requerimientos!$B$6:$B$52,$A22)</f>
        <v/>
      </c>
      <c r="C22" s="23">
        <f>COUNTIFS(Requerimientos!$B$6:$B$52,$A22,Requerimientos!$D$6:$D$52,"Funcional")</f>
        <v/>
      </c>
      <c r="D22" s="23">
        <f>COUNTIFS(Requerimientos!$B$6:$B$52,$A22,Requerimientos!$D$6:$D$52,"No funcional")</f>
        <v/>
      </c>
      <c r="E22" s="23">
        <f>COUNTIFS(Requerimientos!$B$6:$B$52,$A22,Requerimientos!$G$6:$G$52,"Alta")</f>
        <v/>
      </c>
      <c r="F22" s="23">
        <f>COUNTIFS(Requerimientos!$B$6:$B$52,$A22,Requerimientos!$G$6:$G$52,"Media")</f>
        <v/>
      </c>
    </row>
    <row r="23">
      <c r="A23" s="27" t="inlineStr">
        <is>
          <t>M4 Reservas</t>
        </is>
      </c>
      <c r="B23" s="21">
        <f>COUNTIF(Requerimientos!$B$6:$B$52,$A23)</f>
        <v/>
      </c>
      <c r="C23" s="21">
        <f>COUNTIFS(Requerimientos!$B$6:$B$52,$A23,Requerimientos!$D$6:$D$52,"Funcional")</f>
        <v/>
      </c>
      <c r="D23" s="21">
        <f>COUNTIFS(Requerimientos!$B$6:$B$52,$A23,Requerimientos!$D$6:$D$52,"No funcional")</f>
        <v/>
      </c>
      <c r="E23" s="21">
        <f>COUNTIFS(Requerimientos!$B$6:$B$52,$A23,Requerimientos!$G$6:$G$52,"Alta")</f>
        <v/>
      </c>
      <c r="F23" s="21">
        <f>COUNTIFS(Requerimientos!$B$6:$B$52,$A23,Requerimientos!$G$6:$G$52,"Media")</f>
        <v/>
      </c>
    </row>
    <row r="24">
      <c r="A24" s="26" t="inlineStr">
        <is>
          <t>M5 Pagos y cobros</t>
        </is>
      </c>
      <c r="B24" s="23">
        <f>COUNTIF(Requerimientos!$B$6:$B$52,$A24)</f>
        <v/>
      </c>
      <c r="C24" s="23">
        <f>COUNTIFS(Requerimientos!$B$6:$B$52,$A24,Requerimientos!$D$6:$D$52,"Funcional")</f>
        <v/>
      </c>
      <c r="D24" s="23">
        <f>COUNTIFS(Requerimientos!$B$6:$B$52,$A24,Requerimientos!$D$6:$D$52,"No funcional")</f>
        <v/>
      </c>
      <c r="E24" s="23">
        <f>COUNTIFS(Requerimientos!$B$6:$B$52,$A24,Requerimientos!$G$6:$G$52,"Alta")</f>
        <v/>
      </c>
      <c r="F24" s="23">
        <f>COUNTIFS(Requerimientos!$B$6:$B$52,$A24,Requerimientos!$G$6:$G$52,"Media")</f>
        <v/>
      </c>
    </row>
    <row r="25">
      <c r="A25" s="27" t="inlineStr">
        <is>
          <t>M6 Checkout y valoraciones</t>
        </is>
      </c>
      <c r="B25" s="21">
        <f>COUNTIF(Requerimientos!$B$6:$B$52,$A25)</f>
        <v/>
      </c>
      <c r="C25" s="21">
        <f>COUNTIFS(Requerimientos!$B$6:$B$52,$A25,Requerimientos!$D$6:$D$52,"Funcional")</f>
        <v/>
      </c>
      <c r="D25" s="21">
        <f>COUNTIFS(Requerimientos!$B$6:$B$52,$A25,Requerimientos!$D$6:$D$52,"No funcional")</f>
        <v/>
      </c>
      <c r="E25" s="21">
        <f>COUNTIFS(Requerimientos!$B$6:$B$52,$A25,Requerimientos!$G$6:$G$52,"Alta")</f>
        <v/>
      </c>
      <c r="F25" s="21">
        <f>COUNTIFS(Requerimientos!$B$6:$B$52,$A25,Requerimientos!$G$6:$G$52,"Media")</f>
        <v/>
      </c>
    </row>
    <row r="26">
      <c r="A26" s="26" t="inlineStr">
        <is>
          <t>M7 Chat</t>
        </is>
      </c>
      <c r="B26" s="23">
        <f>COUNTIF(Requerimientos!$B$6:$B$52,$A26)</f>
        <v/>
      </c>
      <c r="C26" s="23">
        <f>COUNTIFS(Requerimientos!$B$6:$B$52,$A26,Requerimientos!$D$6:$D$52,"Funcional")</f>
        <v/>
      </c>
      <c r="D26" s="23">
        <f>COUNTIFS(Requerimientos!$B$6:$B$52,$A26,Requerimientos!$D$6:$D$52,"No funcional")</f>
        <v/>
      </c>
      <c r="E26" s="23">
        <f>COUNTIFS(Requerimientos!$B$6:$B$52,$A26,Requerimientos!$G$6:$G$52,"Alta")</f>
        <v/>
      </c>
      <c r="F26" s="23">
        <f>COUNTIFS(Requerimientos!$B$6:$B$52,$A26,Requerimientos!$G$6:$G$52,"Media")</f>
        <v/>
      </c>
    </row>
    <row r="27">
      <c r="A27" s="27" t="inlineStr">
        <is>
          <t>M8 Taxi</t>
        </is>
      </c>
      <c r="B27" s="21">
        <f>COUNTIF(Requerimientos!$B$6:$B$52,$A27)</f>
        <v/>
      </c>
      <c r="C27" s="21">
        <f>COUNTIFS(Requerimientos!$B$6:$B$52,$A27,Requerimientos!$D$6:$D$52,"Funcional")</f>
        <v/>
      </c>
      <c r="D27" s="21">
        <f>COUNTIFS(Requerimientos!$B$6:$B$52,$A27,Requerimientos!$D$6:$D$52,"No funcional")</f>
        <v/>
      </c>
      <c r="E27" s="21">
        <f>COUNTIFS(Requerimientos!$B$6:$B$52,$A27,Requerimientos!$G$6:$G$52,"Alta")</f>
        <v/>
      </c>
      <c r="F27" s="21">
        <f>COUNTIFS(Requerimientos!$B$6:$B$52,$A27,Requerimientos!$G$6:$G$52,"Media")</f>
        <v/>
      </c>
    </row>
    <row r="28">
      <c r="A28" s="26" t="inlineStr">
        <is>
          <t>M9 Reportes y logs</t>
        </is>
      </c>
      <c r="B28" s="23">
        <f>COUNTIF(Requerimientos!$B$6:$B$52,$A28)</f>
        <v/>
      </c>
      <c r="C28" s="23">
        <f>COUNTIFS(Requerimientos!$B$6:$B$52,$A28,Requerimientos!$D$6:$D$52,"Funcional")</f>
        <v/>
      </c>
      <c r="D28" s="23">
        <f>COUNTIFS(Requerimientos!$B$6:$B$52,$A28,Requerimientos!$D$6:$D$52,"No funcional")</f>
        <v/>
      </c>
      <c r="E28" s="23">
        <f>COUNTIFS(Requerimientos!$B$6:$B$52,$A28,Requerimientos!$G$6:$G$52,"Alta")</f>
        <v/>
      </c>
      <c r="F28" s="23">
        <f>COUNTIFS(Requerimientos!$B$6:$B$52,$A28,Requerimientos!$G$6:$G$52,"Media")</f>
        <v/>
      </c>
    </row>
    <row r="29">
      <c r="A29" s="27" t="inlineStr">
        <is>
          <t>M10 Calidad</t>
        </is>
      </c>
      <c r="B29" s="21">
        <f>COUNTIF(Requerimientos!$B$6:$B$52,$A29)</f>
        <v/>
      </c>
      <c r="C29" s="21">
        <f>COUNTIFS(Requerimientos!$B$6:$B$52,$A29,Requerimientos!$D$6:$D$52,"Funcional")</f>
        <v/>
      </c>
      <c r="D29" s="21">
        <f>COUNTIFS(Requerimientos!$B$6:$B$52,$A29,Requerimientos!$D$6:$D$52,"No funcional")</f>
        <v/>
      </c>
      <c r="E29" s="21">
        <f>COUNTIFS(Requerimientos!$B$6:$B$52,$A29,Requerimientos!$G$6:$G$52,"Alta")</f>
        <v/>
      </c>
      <c r="F29" s="21">
        <f>COUNTIFS(Requerimientos!$B$6:$B$52,$A29,Requerimientos!$G$6:$G$52,"Media")</f>
        <v/>
      </c>
    </row>
    <row r="30">
      <c r="A30" s="24" t="inlineStr">
        <is>
          <t>Total</t>
        </is>
      </c>
      <c r="B30" s="25">
        <f>SUM(B20:B29)</f>
        <v/>
      </c>
      <c r="C30" s="25">
        <f>SUM(C20:C29)</f>
        <v/>
      </c>
      <c r="D30" s="25">
        <f>SUM(D20:D29)</f>
        <v/>
      </c>
      <c r="E30" s="25">
        <f>SUM(E20:E29)</f>
        <v/>
      </c>
      <c r="F30" s="25">
        <f>SUM(F20:F29)</f>
        <v/>
      </c>
    </row>
  </sheetData>
  <mergeCells count="6">
    <mergeCell ref="A2:F2"/>
    <mergeCell ref="A1:F1"/>
    <mergeCell ref="A5:F5"/>
    <mergeCell ref="A9:F9"/>
    <mergeCell ref="A18:F18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13" customWidth="1" min="4" max="4"/>
    <col width="58" customWidth="1" min="5" max="5"/>
    <col width="66" customWidth="1" min="6" max="6"/>
    <col width="12" customWidth="1" min="7" max="7"/>
  </cols>
  <sheetData>
    <row r="1" ht="34" customHeight="1">
      <c r="A1" s="1" t="inlineStr">
        <is>
          <t>RoomTrip · Lista de requerimientos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1TEL05 Servicios y Aplicaciones para IoT · PUCP · Semestre 2026-2</t>
        </is>
      </c>
      <c r="B2" s="4" t="n"/>
      <c r="C2" s="4" t="n"/>
      <c r="D2" s="4" t="n"/>
      <c r="E2" s="4" t="n"/>
      <c r="F2" s="4" t="n"/>
      <c r="G2" s="4" t="n"/>
    </row>
    <row r="3" ht="16" customHeight="1">
      <c r="A3" s="17" t="inlineStr">
        <is>
          <t>Sistema de gestión de reservas de alojamiento en hoteles vía aplicación móvil.</t>
        </is>
      </c>
    </row>
    <row r="5" ht="30" customHeight="1">
      <c r="A5" s="13" t="inlineStr">
        <is>
          <t>ID</t>
        </is>
      </c>
      <c r="B5" s="13" t="inlineStr">
        <is>
          <t>Módulo</t>
        </is>
      </c>
      <c r="C5" s="13" t="inlineStr">
        <is>
          <t>Rol</t>
        </is>
      </c>
      <c r="D5" s="13" t="inlineStr">
        <is>
          <t>Tipo</t>
        </is>
      </c>
      <c r="E5" s="13" t="inlineStr">
        <is>
          <t>Requerimiento</t>
        </is>
      </c>
      <c r="F5" s="13" t="inlineStr">
        <is>
          <t>Criterio de aceptación</t>
        </is>
      </c>
      <c r="G5" s="13" t="inlineStr">
        <is>
          <t>Prioridad</t>
        </is>
      </c>
    </row>
    <row r="6" ht="40" customHeight="1">
      <c r="A6" s="28" t="inlineStr">
        <is>
          <t>RF-SA-01</t>
        </is>
      </c>
      <c r="B6" s="29" t="inlineStr">
        <is>
          <t>M2 Gestión de usuarios</t>
        </is>
      </c>
      <c r="C6" s="30" t="inlineStr">
        <is>
          <t>Superadmin</t>
        </is>
      </c>
      <c r="D6" s="30" t="inlineStr">
        <is>
          <t>Funcional</t>
        </is>
      </c>
      <c r="E6" s="29" t="inlineStr">
        <is>
          <t>Activar y desactivar administradores de hotel taxistas y clientes</t>
        </is>
      </c>
      <c r="F6" s="29" t="inlineStr">
        <is>
          <t>Al desactivar un usuario este no puede iniciar sesión y al reactivarlo recupera el acceso</t>
        </is>
      </c>
      <c r="G6" s="30" t="inlineStr">
        <is>
          <t>Alta</t>
        </is>
      </c>
    </row>
    <row r="7" ht="40" customHeight="1">
      <c r="A7" s="31" t="inlineStr">
        <is>
          <t>RF-SA-02</t>
        </is>
      </c>
      <c r="B7" s="32" t="inlineStr">
        <is>
          <t>M2 Gestión de usuarios</t>
        </is>
      </c>
      <c r="C7" s="33" t="inlineStr">
        <is>
          <t>Superadmin</t>
        </is>
      </c>
      <c r="D7" s="33" t="inlineStr">
        <is>
          <t>Funcional</t>
        </is>
      </c>
      <c r="E7" s="32" t="inlineStr">
        <is>
          <t>Registrar hoteles y asignar un administrador a cada uno</t>
        </is>
      </c>
      <c r="F7" s="32" t="inlineStr">
        <is>
          <t>Un hotel registrado queda asociado a exactamente un administrador que ve solo ese hotel</t>
        </is>
      </c>
      <c r="G7" s="33" t="inlineStr">
        <is>
          <t>Alta</t>
        </is>
      </c>
    </row>
    <row r="8" ht="40" customHeight="1">
      <c r="A8" s="28" t="inlineStr">
        <is>
          <t>RF-SA-04</t>
        </is>
      </c>
      <c r="B8" s="29" t="inlineStr">
        <is>
          <t>M9 Reportes y logs</t>
        </is>
      </c>
      <c r="C8" s="30" t="inlineStr">
        <is>
          <t>Superadmin</t>
        </is>
      </c>
      <c r="D8" s="30" t="inlineStr">
        <is>
          <t>Funcional</t>
        </is>
      </c>
      <c r="E8" s="29" t="inlineStr">
        <is>
          <t>Generar el reporte de reservas por hotel</t>
        </is>
      </c>
      <c r="F8" s="29" t="inlineStr">
        <is>
          <t>El reporte agrupa las reservas por hotel</t>
        </is>
      </c>
      <c r="G8" s="30" t="inlineStr">
        <is>
          <t>Media</t>
        </is>
      </c>
    </row>
    <row r="9" ht="40" customHeight="1">
      <c r="A9" s="31" t="inlineStr">
        <is>
          <t>RF-SA-05</t>
        </is>
      </c>
      <c r="B9" s="32" t="inlineStr">
        <is>
          <t>M9 Reportes y logs</t>
        </is>
      </c>
      <c r="C9" s="33" t="inlineStr">
        <is>
          <t>Superadmin</t>
        </is>
      </c>
      <c r="D9" s="33" t="inlineStr">
        <is>
          <t>Funcional</t>
        </is>
      </c>
      <c r="E9" s="32" t="inlineStr">
        <is>
          <t>Consultar el visor de logs de eventos del sistema</t>
        </is>
      </c>
      <c r="F9" s="32" t="inlineStr">
        <is>
          <t>El Superadmin ve los eventos registrados con fecha actor y tipo de evento</t>
        </is>
      </c>
      <c r="G9" s="33" t="inlineStr">
        <is>
          <t>Media</t>
        </is>
      </c>
    </row>
    <row r="10" ht="40" customHeight="1">
      <c r="A10" s="28" t="inlineStr">
        <is>
          <t>RF-SA-03</t>
        </is>
      </c>
      <c r="B10" s="29" t="inlineStr">
        <is>
          <t>M2 Gestión de usuarios</t>
        </is>
      </c>
      <c r="C10" s="30" t="inlineStr">
        <is>
          <t>Superadmin</t>
        </is>
      </c>
      <c r="D10" s="30" t="inlineStr">
        <is>
          <t>Funcional</t>
        </is>
      </c>
      <c r="E10" s="29" t="inlineStr">
        <is>
          <t>Aprobar o habilitar taxistas desde la app web</t>
        </is>
      </c>
      <c r="F10" s="29" t="inlineStr">
        <is>
          <t>El taxista pasa de pendiente a habilitado y recién entonces aparece como disponible</t>
        </is>
      </c>
      <c r="G10" s="30" t="inlineStr">
        <is>
          <t>Alta</t>
        </is>
      </c>
    </row>
    <row r="11" ht="40" customHeight="1">
      <c r="A11" s="31" t="inlineStr">
        <is>
          <t>RF-AH-02</t>
        </is>
      </c>
      <c r="B11" s="32" t="inlineStr">
        <is>
          <t>M3 Catálogo</t>
        </is>
      </c>
      <c r="C11" s="33" t="inlineStr">
        <is>
          <t>Administrador de hotel</t>
        </is>
      </c>
      <c r="D11" s="33" t="inlineStr">
        <is>
          <t>Funcional</t>
        </is>
      </c>
      <c r="E11" s="32" t="inlineStr">
        <is>
          <t>Subir fotos del hotel con un mínimo de 4</t>
        </is>
      </c>
      <c r="F11" s="32" t="inlineStr">
        <is>
          <t>El formulario no permite guardar con menos de 4 fotos</t>
        </is>
      </c>
      <c r="G11" s="33" t="inlineStr">
        <is>
          <t>Alta</t>
        </is>
      </c>
    </row>
    <row r="12" ht="40" customHeight="1">
      <c r="A12" s="28" t="inlineStr">
        <is>
          <t>RF-AH-03</t>
        </is>
      </c>
      <c r="B12" s="29" t="inlineStr">
        <is>
          <t>M3 Catálogo</t>
        </is>
      </c>
      <c r="C12" s="30" t="inlineStr">
        <is>
          <t>Administrador de hotel</t>
        </is>
      </c>
      <c r="D12" s="30" t="inlineStr">
        <is>
          <t>Funcional</t>
        </is>
      </c>
      <c r="E12" s="29" t="inlineStr">
        <is>
          <t>Registrar habitaciones con tipo capacidad de adultos y niños y tamaño en m2</t>
        </is>
      </c>
      <c r="F12" s="29" t="inlineStr">
        <is>
          <t>La habitación guardada muestra los 4 datos y queda listada en el hotel</t>
        </is>
      </c>
      <c r="G12" s="30" t="inlineStr">
        <is>
          <t>Alta</t>
        </is>
      </c>
    </row>
    <row r="13" ht="40" customHeight="1">
      <c r="A13" s="31" t="inlineStr">
        <is>
          <t>RF-AH-04</t>
        </is>
      </c>
      <c r="B13" s="32" t="inlineStr">
        <is>
          <t>M3 Catálogo</t>
        </is>
      </c>
      <c r="C13" s="33" t="inlineStr">
        <is>
          <t>Administrador de hotel</t>
        </is>
      </c>
      <c r="D13" s="33" t="inlineStr">
        <is>
          <t>Funcional</t>
        </is>
      </c>
      <c r="E13" s="32" t="inlineStr">
        <is>
          <t>Registrar servicios con nombre descripción precio imágenes y si tienen costo</t>
        </is>
      </c>
      <c r="F13" s="32" t="inlineStr">
        <is>
          <t>Un servicio marcado sin costo no suma al total de la reserva</t>
        </is>
      </c>
      <c r="G13" s="33" t="inlineStr">
        <is>
          <t>Alta</t>
        </is>
      </c>
    </row>
    <row r="14" ht="40" customHeight="1">
      <c r="A14" s="28" t="inlineStr">
        <is>
          <t>RF-AH-06</t>
        </is>
      </c>
      <c r="B14" s="29" t="inlineStr">
        <is>
          <t>M5 Pagos y cobros</t>
        </is>
      </c>
      <c r="C14" s="30" t="inlineStr">
        <is>
          <t>Administrador de hotel</t>
        </is>
      </c>
      <c r="D14" s="30" t="inlineStr">
        <is>
          <t>Funcional</t>
        </is>
      </c>
      <c r="E14" s="29" t="inlineStr">
        <is>
          <t>Recibir la alerta de checkout y procesar el cobro de la tarjeta registrada</t>
        </is>
      </c>
      <c r="F14" s="29" t="inlineStr">
        <is>
          <t>Al hacer checkout el cliente el hotel recibe la alerta y puede ejecutar el cobro</t>
        </is>
      </c>
      <c r="G14" s="30" t="inlineStr">
        <is>
          <t>Alta</t>
        </is>
      </c>
    </row>
    <row r="15" ht="40" customHeight="1">
      <c r="A15" s="31" t="inlineStr">
        <is>
          <t>RF-AH-09</t>
        </is>
      </c>
      <c r="B15" s="32" t="inlineStr">
        <is>
          <t>M7 Chat</t>
        </is>
      </c>
      <c r="C15" s="33" t="inlineStr">
        <is>
          <t>Administrador de hotel</t>
        </is>
      </c>
      <c r="D15" s="33" t="inlineStr">
        <is>
          <t>Funcional</t>
        </is>
      </c>
      <c r="E15" s="32" t="inlineStr">
        <is>
          <t>Responder los chats de clientes con reserva activa</t>
        </is>
      </c>
      <c r="F15" s="32" t="inlineStr">
        <is>
          <t>El hotel ve solo los chats de reservas activas y puede responder</t>
        </is>
      </c>
      <c r="G15" s="33" t="inlineStr">
        <is>
          <t>Alta</t>
        </is>
      </c>
    </row>
    <row r="16" ht="40" customHeight="1">
      <c r="A16" s="28" t="inlineStr">
        <is>
          <t>RF-AH-10</t>
        </is>
      </c>
      <c r="B16" s="29" t="inlineStr">
        <is>
          <t>M8 Taxi</t>
        </is>
      </c>
      <c r="C16" s="30" t="inlineStr">
        <is>
          <t>Administrador de hotel</t>
        </is>
      </c>
      <c r="D16" s="30" t="inlineStr">
        <is>
          <t>Funcional</t>
        </is>
      </c>
      <c r="E16" s="29" t="inlineStr">
        <is>
          <t>Establecer el monto mínimo de reserva que da derecho al taxi gratuito al aeropuerto</t>
        </is>
      </c>
      <c r="F16" s="29" t="inlineStr">
        <is>
          <t>El hotel guarda un monto mínimo y solo las reservas que lo alcanzan habilitan la opción de taxi al cliente</t>
        </is>
      </c>
      <c r="G16" s="30" t="inlineStr">
        <is>
          <t>Alta</t>
        </is>
      </c>
    </row>
    <row r="17" ht="40" customHeight="1">
      <c r="A17" s="31" t="inlineStr">
        <is>
          <t>RF-AH-07</t>
        </is>
      </c>
      <c r="B17" s="32" t="inlineStr">
        <is>
          <t>M5 Pagos y cobros</t>
        </is>
      </c>
      <c r="C17" s="33" t="inlineStr">
        <is>
          <t>Administrador de hotel</t>
        </is>
      </c>
      <c r="D17" s="33" t="inlineStr">
        <is>
          <t>Funcional</t>
        </is>
      </c>
      <c r="E17" s="32" t="inlineStr">
        <is>
          <t>Añadir cobros adicionales por daños con monto motivo y observación</t>
        </is>
      </c>
      <c r="F17" s="32" t="inlineStr">
        <is>
          <t>El cobro adicional exige los 3 campos y se suma al total de la reserva</t>
        </is>
      </c>
      <c r="G17" s="33" t="inlineStr">
        <is>
          <t>Media</t>
        </is>
      </c>
    </row>
    <row r="18" ht="40" customHeight="1">
      <c r="A18" s="28" t="inlineStr">
        <is>
          <t>RF-AH-08</t>
        </is>
      </c>
      <c r="B18" s="29" t="inlineStr">
        <is>
          <t>M9 Reportes y logs</t>
        </is>
      </c>
      <c r="C18" s="30" t="inlineStr">
        <is>
          <t>Administrador de hotel</t>
        </is>
      </c>
      <c r="D18" s="30" t="inlineStr">
        <is>
          <t>Funcional</t>
        </is>
      </c>
      <c r="E18" s="29" t="inlineStr">
        <is>
          <t>Reporte de ingresos por servicios adicionales ordenado de menor a mayor</t>
        </is>
      </c>
      <c r="F18" s="29" t="inlineStr">
        <is>
          <t>El reporte lista los servicios ordenados ascendentemente por monto total generado</t>
        </is>
      </c>
      <c r="G18" s="30" t="inlineStr">
        <is>
          <t>Media</t>
        </is>
      </c>
    </row>
    <row r="19" ht="40" customHeight="1">
      <c r="A19" s="31" t="inlineStr">
        <is>
          <t>RF-AH-01</t>
        </is>
      </c>
      <c r="B19" s="32" t="inlineStr">
        <is>
          <t>M3 Catálogo</t>
        </is>
      </c>
      <c r="C19" s="33" t="inlineStr">
        <is>
          <t>Administrador de hotel</t>
        </is>
      </c>
      <c r="D19" s="33" t="inlineStr">
        <is>
          <t>Funcional</t>
        </is>
      </c>
      <c r="E19" s="32" t="inlineStr">
        <is>
          <t>Registrar la ubicación del hotel y los lugares históricos cercanos</t>
        </is>
      </c>
      <c r="F19" s="32" t="inlineStr">
        <is>
          <t>La ubicación se selecciona en un mapa y se listan los lugares históricos cercanos asociados</t>
        </is>
      </c>
      <c r="G19" s="33" t="inlineStr">
        <is>
          <t>Alta</t>
        </is>
      </c>
    </row>
    <row r="20" ht="40" customHeight="1">
      <c r="A20" s="28" t="inlineStr">
        <is>
          <t>RF-AH-05</t>
        </is>
      </c>
      <c r="B20" s="29" t="inlineStr">
        <is>
          <t>M8 Taxi</t>
        </is>
      </c>
      <c r="C20" s="30" t="inlineStr">
        <is>
          <t>Administrador de hotel</t>
        </is>
      </c>
      <c r="D20" s="30" t="inlineStr">
        <is>
          <t>Funcional</t>
        </is>
      </c>
      <c r="E20" s="29" t="inlineStr">
        <is>
          <t>Ver el estado del taxista asignado en camino a recoger y llegó al destino</t>
        </is>
      </c>
      <c r="F20" s="29" t="inlineStr">
        <is>
          <t>El hotel ve el estado actualizado del servicio de taxi de sus huéspedes</t>
        </is>
      </c>
      <c r="G20" s="30" t="inlineStr">
        <is>
          <t>Media</t>
        </is>
      </c>
    </row>
    <row r="21" ht="40" customHeight="1">
      <c r="A21" s="31" t="inlineStr">
        <is>
          <t>RF-TX-02</t>
        </is>
      </c>
      <c r="B21" s="32" t="inlineStr">
        <is>
          <t>M1 Autenticación</t>
        </is>
      </c>
      <c r="C21" s="33" t="inlineStr">
        <is>
          <t>Taxista</t>
        </is>
      </c>
      <c r="D21" s="33" t="inlineStr">
        <is>
          <t>Funcional</t>
        </is>
      </c>
      <c r="E21" s="32" t="inlineStr">
        <is>
          <t>Acceder a la app móvil una vez habilitado</t>
        </is>
      </c>
      <c r="F21" s="32" t="inlineStr">
        <is>
          <t>Un taxista no habilitado no puede iniciar sesión en la app móvil y uno habilitado sí</t>
        </is>
      </c>
      <c r="G21" s="33" t="inlineStr">
        <is>
          <t>Alta</t>
        </is>
      </c>
    </row>
    <row r="22" ht="40" customHeight="1">
      <c r="A22" s="28" t="inlineStr">
        <is>
          <t>RF-TX-03</t>
        </is>
      </c>
      <c r="B22" s="29" t="inlineStr">
        <is>
          <t>M8 Taxi</t>
        </is>
      </c>
      <c r="C22" s="30" t="inlineStr">
        <is>
          <t>Taxista</t>
        </is>
      </c>
      <c r="D22" s="30" t="inlineStr">
        <is>
          <t>Funcional</t>
        </is>
      </c>
      <c r="E22" s="29" t="inlineStr">
        <is>
          <t>Ver hoteles y pedidos disponibles</t>
        </is>
      </c>
      <c r="F22" s="29" t="inlineStr">
        <is>
          <t>El taxista habilitado ve la lista de pedidos en estado SOLICITADO</t>
        </is>
      </c>
      <c r="G22" s="30" t="inlineStr">
        <is>
          <t>Alta</t>
        </is>
      </c>
    </row>
    <row r="23" ht="40" customHeight="1">
      <c r="A23" s="31" t="inlineStr">
        <is>
          <t>RF-TX-04</t>
        </is>
      </c>
      <c r="B23" s="32" t="inlineStr">
        <is>
          <t>M8 Taxi</t>
        </is>
      </c>
      <c r="C23" s="33" t="inlineStr">
        <is>
          <t>Taxista</t>
        </is>
      </c>
      <c r="D23" s="33" t="inlineStr">
        <is>
          <t>Funcional</t>
        </is>
      </c>
      <c r="E23" s="32" t="inlineStr">
        <is>
          <t>Aceptar un pedido que deja de estar disponible para los demás</t>
        </is>
      </c>
      <c r="F23" s="32" t="inlineStr">
        <is>
          <t>Al aceptar el servicio pasa a ASIGNADO y desaparece de la lista de los otros taxistas</t>
        </is>
      </c>
      <c r="G23" s="33" t="inlineStr">
        <is>
          <t>Alta</t>
        </is>
      </c>
    </row>
    <row r="24" ht="40" customHeight="1">
      <c r="A24" s="28" t="inlineStr">
        <is>
          <t>RF-TX-06</t>
        </is>
      </c>
      <c r="B24" s="29" t="inlineStr">
        <is>
          <t>M8 Taxi</t>
        </is>
      </c>
      <c r="C24" s="30" t="inlineStr">
        <is>
          <t>Taxista</t>
        </is>
      </c>
      <c r="D24" s="30" t="inlineStr">
        <is>
          <t>Funcional</t>
        </is>
      </c>
      <c r="E24" s="29" t="inlineStr">
        <is>
          <t>Actualizar los estados del servicio</t>
        </is>
      </c>
      <c r="F24" s="29" t="inlineStr">
        <is>
          <t>El taxista avanza el servicio por SOLICITADO ASIGNADO EN_CAMINO EN_TRASLADO y FINALIZADO</t>
        </is>
      </c>
      <c r="G24" s="30" t="inlineStr">
        <is>
          <t>Alta</t>
        </is>
      </c>
    </row>
    <row r="25" ht="40" customHeight="1">
      <c r="A25" s="31" t="inlineStr">
        <is>
          <t>RF-TX-05</t>
        </is>
      </c>
      <c r="B25" s="32" t="inlineStr">
        <is>
          <t>M8 Taxi</t>
        </is>
      </c>
      <c r="C25" s="33" t="inlineStr">
        <is>
          <t>Taxista</t>
        </is>
      </c>
      <c r="D25" s="33" t="inlineStr">
        <is>
          <t>Funcional</t>
        </is>
      </c>
      <c r="E25" s="32" t="inlineStr">
        <is>
          <t>Registrar automáticamente su ubicación durante el servicio activo</t>
        </is>
      </c>
      <c r="F25" s="32" t="inlineStr">
        <is>
          <t>Con un servicio activo la ubicación se actualiza periódicamente sin intervención del taxista</t>
        </is>
      </c>
      <c r="G25" s="33" t="inlineStr">
        <is>
          <t>Alta</t>
        </is>
      </c>
    </row>
    <row r="26" ht="40" customHeight="1">
      <c r="A26" s="28" t="inlineStr">
        <is>
          <t>RF-TX-07</t>
        </is>
      </c>
      <c r="B26" s="29" t="inlineStr">
        <is>
          <t>M8 Taxi</t>
        </is>
      </c>
      <c r="C26" s="30" t="inlineStr">
        <is>
          <t>Taxista</t>
        </is>
      </c>
      <c r="D26" s="30" t="inlineStr">
        <is>
          <t>Funcional</t>
        </is>
      </c>
      <c r="E26" s="29" t="inlineStr">
        <is>
          <t>Registrar FINALIZADO únicamente escaneando el QR del cliente</t>
        </is>
      </c>
      <c r="F26" s="29" t="inlineStr">
        <is>
          <t>El estado FINALIZADO no se puede fijar manualmente y solo se alcanza por escaneo del QR</t>
        </is>
      </c>
      <c r="G26" s="30" t="inlineStr">
        <is>
          <t>Alta</t>
        </is>
      </c>
    </row>
    <row r="27" ht="40" customHeight="1">
      <c r="A27" s="31" t="inlineStr">
        <is>
          <t>RF-TX-01</t>
        </is>
      </c>
      <c r="B27" s="32" t="inlineStr">
        <is>
          <t>M1 Autenticación</t>
        </is>
      </c>
      <c r="C27" s="33" t="inlineStr">
        <is>
          <t>Taxista</t>
        </is>
      </c>
      <c r="D27" s="33" t="inlineStr">
        <is>
          <t>Funcional</t>
        </is>
      </c>
      <c r="E27" s="32" t="inlineStr">
        <is>
          <t>Autoregistrarse en la app web con todos sus datos y fotos</t>
        </is>
      </c>
      <c r="F27" s="32" t="inlineStr">
        <is>
          <t>El formulario web exige nombres apellidos tipo y número de documento fecha de nacimiento correo teléfono domicilio foto placa y foto del vehículo</t>
        </is>
      </c>
      <c r="G27" s="33" t="inlineStr">
        <is>
          <t>Alta</t>
        </is>
      </c>
    </row>
    <row r="28" ht="40" customHeight="1">
      <c r="A28" s="28" t="inlineStr">
        <is>
          <t>RF-CL-01</t>
        </is>
      </c>
      <c r="B28" s="29" t="inlineStr">
        <is>
          <t>M1 Autenticación</t>
        </is>
      </c>
      <c r="C28" s="30" t="inlineStr">
        <is>
          <t>Cliente</t>
        </is>
      </c>
      <c r="D28" s="30" t="inlineStr">
        <is>
          <t>Funcional</t>
        </is>
      </c>
      <c r="E28" s="29" t="inlineStr">
        <is>
          <t>Autoregistrarse y quedar habilitado automáticamente</t>
        </is>
      </c>
      <c r="F28" s="29" t="inlineStr">
        <is>
          <t>Al completar el formulario con nombres apellidos tipo y número de documento fecha de nacimiento correo teléfono domicilio y foto la cuenta queda activa sin aprobación</t>
        </is>
      </c>
      <c r="G28" s="30" t="inlineStr">
        <is>
          <t>Alta</t>
        </is>
      </c>
    </row>
    <row r="29" ht="40" customHeight="1">
      <c r="A29" s="31" t="inlineStr">
        <is>
          <t>RF-CL-02</t>
        </is>
      </c>
      <c r="B29" s="32" t="inlineStr">
        <is>
          <t>M3 Catálogo</t>
        </is>
      </c>
      <c r="C29" s="33" t="inlineStr">
        <is>
          <t>Cliente</t>
        </is>
      </c>
      <c r="D29" s="33" t="inlineStr">
        <is>
          <t>Funcional</t>
        </is>
      </c>
      <c r="E29" s="32" t="inlineStr">
        <is>
          <t>Consultar hoteles habitaciones servicios disponibilidad y valoraciones</t>
        </is>
      </c>
      <c r="F29" s="32" t="inlineStr">
        <is>
          <t>El listado muestra hoteles con sus fotos habitaciones servicios y promedio de valoraciones</t>
        </is>
      </c>
      <c r="G29" s="33" t="inlineStr">
        <is>
          <t>Alta</t>
        </is>
      </c>
    </row>
    <row r="30" ht="40" customHeight="1">
      <c r="A30" s="28" t="inlineStr">
        <is>
          <t>RF-CL-03</t>
        </is>
      </c>
      <c r="B30" s="29" t="inlineStr">
        <is>
          <t>M4 Reservas</t>
        </is>
      </c>
      <c r="C30" s="30" t="inlineStr">
        <is>
          <t>Cliente</t>
        </is>
      </c>
      <c r="D30" s="30" t="inlineStr">
        <is>
          <t>Funcional</t>
        </is>
      </c>
      <c r="E30" s="29" t="inlineStr">
        <is>
          <t>Reservar con tarjeta de crédito o débito simulada</t>
        </is>
      </c>
      <c r="F30" s="29" t="inlineStr">
        <is>
          <t>Tras confirmar el pago simulado la reserva queda creada y visible en el historial</t>
        </is>
      </c>
      <c r="G30" s="30" t="inlineStr">
        <is>
          <t>Alta</t>
        </is>
      </c>
    </row>
    <row r="31" ht="40" customHeight="1">
      <c r="A31" s="31" t="inlineStr">
        <is>
          <t>RF-CL-04</t>
        </is>
      </c>
      <c r="B31" s="32" t="inlineStr">
        <is>
          <t>M6 Checkout y valoraciones</t>
        </is>
      </c>
      <c r="C31" s="33" t="inlineStr">
        <is>
          <t>Cliente</t>
        </is>
      </c>
      <c r="D31" s="33" t="inlineStr">
        <is>
          <t>Funcional</t>
        </is>
      </c>
      <c r="E31" s="32" t="inlineStr">
        <is>
          <t>Hacer checkout y registrar valoración y observaciones obligatorias</t>
        </is>
      </c>
      <c r="F31" s="32" t="inlineStr">
        <is>
          <t>No se puede completar el checkout sin valoración y observaciones</t>
        </is>
      </c>
      <c r="G31" s="33" t="inlineStr">
        <is>
          <t>Alta</t>
        </is>
      </c>
    </row>
    <row r="32" ht="40" customHeight="1">
      <c r="A32" s="28" t="inlineStr">
        <is>
          <t>RF-CL-05</t>
        </is>
      </c>
      <c r="B32" s="29" t="inlineStr">
        <is>
          <t>M5 Pagos y cobros</t>
        </is>
      </c>
      <c r="C32" s="30" t="inlineStr">
        <is>
          <t>Cliente</t>
        </is>
      </c>
      <c r="D32" s="30" t="inlineStr">
        <is>
          <t>Funcional</t>
        </is>
      </c>
      <c r="E32" s="29" t="inlineStr">
        <is>
          <t>Recibir notificación cuando se le hace el cobro</t>
        </is>
      </c>
      <c r="F32" s="29" t="inlineStr">
        <is>
          <t>El cliente recibe una notificación push con el monto cobrado</t>
        </is>
      </c>
      <c r="G32" s="30" t="inlineStr">
        <is>
          <t>Alta</t>
        </is>
      </c>
    </row>
    <row r="33" ht="40" customHeight="1">
      <c r="A33" s="31" t="inlineStr">
        <is>
          <t>RF-CL-07</t>
        </is>
      </c>
      <c r="B33" s="32" t="inlineStr">
        <is>
          <t>M7 Chat</t>
        </is>
      </c>
      <c r="C33" s="33" t="inlineStr">
        <is>
          <t>Cliente</t>
        </is>
      </c>
      <c r="D33" s="33" t="inlineStr">
        <is>
          <t>Funcional</t>
        </is>
      </c>
      <c r="E33" s="32" t="inlineStr">
        <is>
          <t>Chat privado con el hotel entre la confirmación de la reserva y el fin del checkout</t>
        </is>
      </c>
      <c r="F33" s="32" t="inlineStr">
        <is>
          <t>El chat no está disponible antes de confirmar la reserva ni después del checkout</t>
        </is>
      </c>
      <c r="G33" s="33" t="inlineStr">
        <is>
          <t>Alta</t>
        </is>
      </c>
    </row>
    <row r="34" ht="40" customHeight="1">
      <c r="A34" s="28" t="inlineStr">
        <is>
          <t>RF-CL-06</t>
        </is>
      </c>
      <c r="B34" s="29" t="inlineStr">
        <is>
          <t>M4 Reservas</t>
        </is>
      </c>
      <c r="C34" s="30" t="inlineStr">
        <is>
          <t>Cliente</t>
        </is>
      </c>
      <c r="D34" s="30" t="inlineStr">
        <is>
          <t>Funcional</t>
        </is>
      </c>
      <c r="E34" s="29" t="inlineStr">
        <is>
          <t>Ver el historial de sus reservas</t>
        </is>
      </c>
      <c r="F34" s="29" t="inlineStr">
        <is>
          <t>El historial lista las reservas del cliente autenticado con fechas hotel habitación estado y monto</t>
        </is>
      </c>
      <c r="G34" s="30" t="inlineStr">
        <is>
          <t>Media</t>
        </is>
      </c>
    </row>
    <row r="35" ht="40" customHeight="1">
      <c r="A35" s="31" t="inlineStr">
        <is>
          <t>RF-CL-12</t>
        </is>
      </c>
      <c r="B35" s="32" t="inlineStr">
        <is>
          <t>M3 Catálogo</t>
        </is>
      </c>
      <c r="C35" s="33" t="inlineStr">
        <is>
          <t>Cliente</t>
        </is>
      </c>
      <c r="D35" s="33" t="inlineStr">
        <is>
          <t>Funcional</t>
        </is>
      </c>
      <c r="E35" s="32" t="inlineStr">
        <is>
          <t>Consultar los lugares históricos cercanos al hotel</t>
        </is>
      </c>
      <c r="F35" s="32" t="inlineStr">
        <is>
          <t>El cliente ve la lista de lugares históricos cercanos registrados por el administrador del hotel</t>
        </is>
      </c>
      <c r="G35" s="33" t="inlineStr">
        <is>
          <t>Media</t>
        </is>
      </c>
    </row>
    <row r="36" ht="40" customHeight="1">
      <c r="A36" s="28" t="inlineStr">
        <is>
          <t>RF-CL-08</t>
        </is>
      </c>
      <c r="B36" s="29" t="inlineStr">
        <is>
          <t>M8 Taxi</t>
        </is>
      </c>
      <c r="C36" s="30" t="inlineStr">
        <is>
          <t>Cliente</t>
        </is>
      </c>
      <c r="D36" s="30" t="inlineStr">
        <is>
          <t>Funcional</t>
        </is>
      </c>
      <c r="E36" s="29" t="inlineStr">
        <is>
          <t>Solicitar el taxi gratuito al aeropuerto si la reserva alcanza el monto mínimo</t>
        </is>
      </c>
      <c r="F36" s="29" t="inlineStr">
        <is>
          <t>La opción aparece solo si el monto de la reserva alcanza el mínimo del hotel es opcional y el cliente indica el aeropuerto destino</t>
        </is>
      </c>
      <c r="G36" s="30" t="inlineStr">
        <is>
          <t>Alta</t>
        </is>
      </c>
    </row>
    <row r="37" ht="40" customHeight="1">
      <c r="A37" s="31" t="inlineStr">
        <is>
          <t>RF-CL-09</t>
        </is>
      </c>
      <c r="B37" s="32" t="inlineStr">
        <is>
          <t>M8 Taxi</t>
        </is>
      </c>
      <c r="C37" s="33" t="inlineStr">
        <is>
          <t>Cliente</t>
        </is>
      </c>
      <c r="D37" s="33" t="inlineStr">
        <is>
          <t>Funcional</t>
        </is>
      </c>
      <c r="E37" s="32" t="inlineStr">
        <is>
          <t>Ver datos vehículo valoración y ubicación del taxista en un mapa</t>
        </is>
      </c>
      <c r="F37" s="32" t="inlineStr">
        <is>
          <t>El cliente ve nombre vehículo placa valoración y la posición del taxista actualizándose en el mapa</t>
        </is>
      </c>
      <c r="G37" s="33" t="inlineStr">
        <is>
          <t>Alta</t>
        </is>
      </c>
    </row>
    <row r="38" ht="40" customHeight="1">
      <c r="A38" s="28" t="inlineStr">
        <is>
          <t>RF-CL-10</t>
        </is>
      </c>
      <c r="B38" s="29" t="inlineStr">
        <is>
          <t>M8 Taxi</t>
        </is>
      </c>
      <c r="C38" s="30" t="inlineStr">
        <is>
          <t>Cliente</t>
        </is>
      </c>
      <c r="D38" s="30" t="inlineStr">
        <is>
          <t>Funcional</t>
        </is>
      </c>
      <c r="E38" s="29" t="inlineStr">
        <is>
          <t>Recibir el QR del hotel y mostrarlo al llegar</t>
        </is>
      </c>
      <c r="F38" s="29" t="inlineStr">
        <is>
          <t>El cliente visualiza un QR asociado al servicio de taxi</t>
        </is>
      </c>
      <c r="G38" s="30" t="inlineStr">
        <is>
          <t>Alta</t>
        </is>
      </c>
    </row>
    <row r="39" ht="40" customHeight="1">
      <c r="A39" s="31" t="inlineStr">
        <is>
          <t>RF-CL-11</t>
        </is>
      </c>
      <c r="B39" s="32" t="inlineStr">
        <is>
          <t>M8 Taxi</t>
        </is>
      </c>
      <c r="C39" s="33" t="inlineStr">
        <is>
          <t>Cliente</t>
        </is>
      </c>
      <c r="D39" s="33" t="inlineStr">
        <is>
          <t>Funcional</t>
        </is>
      </c>
      <c r="E39" s="32" t="inlineStr">
        <is>
          <t>Calificar al taxista al finalizar el servicio</t>
        </is>
      </c>
      <c r="F39" s="32" t="inlineStr">
        <is>
          <t>Al pasar el servicio a FINALIZADO la app pide la calificación del taxista</t>
        </is>
      </c>
      <c r="G39" s="33" t="inlineStr">
        <is>
          <t>Media</t>
        </is>
      </c>
    </row>
    <row r="40" ht="40" customHeight="1">
      <c r="A40" s="28" t="inlineStr">
        <is>
          <t>RNF-07</t>
        </is>
      </c>
      <c r="B40" s="29" t="inlineStr">
        <is>
          <t>M10 Calidad</t>
        </is>
      </c>
      <c r="C40" s="30" t="inlineStr">
        <is>
          <t>Transversal</t>
        </is>
      </c>
      <c r="D40" s="30" t="inlineStr">
        <is>
          <t>No funcional</t>
        </is>
      </c>
      <c r="E40" s="29" t="inlineStr">
        <is>
          <t>La app móvil es Android nativa en Java con versión mínima Android 14 API 34</t>
        </is>
      </c>
      <c r="F40" s="29" t="inlineStr">
        <is>
          <t>El proyecto compila con minSdk 34 y está escrito en Java</t>
        </is>
      </c>
      <c r="G40" s="30" t="inlineStr">
        <is>
          <t>Alta</t>
        </is>
      </c>
    </row>
    <row r="41" ht="40" customHeight="1">
      <c r="A41" s="31" t="inlineStr">
        <is>
          <t>RF-GN-01</t>
        </is>
      </c>
      <c r="B41" s="32" t="inlineStr">
        <is>
          <t>M4 Reservas</t>
        </is>
      </c>
      <c r="C41" s="33" t="inlineStr">
        <is>
          <t>Transversal</t>
        </is>
      </c>
      <c r="D41" s="33" t="inlineStr">
        <is>
          <t>Funcional</t>
        </is>
      </c>
      <c r="E41" s="32" t="inlineStr">
        <is>
          <t>Una habitación no puede tener reservas de distintos clientes con períodos superpuestos</t>
        </is>
      </c>
      <c r="F41" s="32" t="inlineStr">
        <is>
          <t>Al intentar reservar fechas que se solapan con una reserva existente de esa habitación el sistema rechaza la operación</t>
        </is>
      </c>
      <c r="G41" s="33" t="inlineStr">
        <is>
          <t>Alta</t>
        </is>
      </c>
    </row>
    <row r="42" ht="40" customHeight="1">
      <c r="A42" s="28" t="inlineStr">
        <is>
          <t>RF-GN-02</t>
        </is>
      </c>
      <c r="B42" s="29" t="inlineStr">
        <is>
          <t>M4 Reservas</t>
        </is>
      </c>
      <c r="C42" s="30" t="inlineStr">
        <is>
          <t>Transversal</t>
        </is>
      </c>
      <c r="D42" s="30" t="inlineStr">
        <is>
          <t>Funcional</t>
        </is>
      </c>
      <c r="E42" s="29" t="inlineStr">
        <is>
          <t>Un mismo cliente no puede tener reservas con fechas de alojamiento superpuestas</t>
        </is>
      </c>
      <c r="F42" s="29" t="inlineStr">
        <is>
          <t>Al intentar una segunda reserva que se solapa con otra propia el sistema la rechaza</t>
        </is>
      </c>
      <c r="G42" s="30" t="inlineStr">
        <is>
          <t>Alta</t>
        </is>
      </c>
    </row>
    <row r="43" ht="40" customHeight="1">
      <c r="A43" s="31" t="inlineStr">
        <is>
          <t>RF-GN-03</t>
        </is>
      </c>
      <c r="B43" s="32" t="inlineStr">
        <is>
          <t>M1 Autenticación</t>
        </is>
      </c>
      <c r="C43" s="33" t="inlineStr">
        <is>
          <t>Transversal</t>
        </is>
      </c>
      <c r="D43" s="33" t="inlineStr">
        <is>
          <t>Funcional</t>
        </is>
      </c>
      <c r="E43" s="32" t="inlineStr">
        <is>
          <t>Login único: tras autenticar se resuelve el rol y se navega al flujo correspondiente</t>
        </is>
      </c>
      <c r="F43" s="32" t="inlineStr">
        <is>
          <t>Con credenciales válidas de cada uno de los 4 roles la app abre el grafo de navegación propio de ese rol</t>
        </is>
      </c>
      <c r="G43" s="33" t="inlineStr">
        <is>
          <t>Alta</t>
        </is>
      </c>
    </row>
    <row r="44" ht="40" customHeight="1">
      <c r="A44" s="28" t="inlineStr">
        <is>
          <t>RF-GN-04</t>
        </is>
      </c>
      <c r="B44" s="29" t="inlineStr">
        <is>
          <t>M7 Chat</t>
        </is>
      </c>
      <c r="C44" s="30" t="inlineStr">
        <is>
          <t>Transversal</t>
        </is>
      </c>
      <c r="D44" s="30" t="inlineStr">
        <is>
          <t>Funcional</t>
        </is>
      </c>
      <c r="E44" s="29" t="inlineStr">
        <is>
          <t>Los mensajes de chat persisten con fecha y hora</t>
        </is>
      </c>
      <c r="F44" s="29" t="inlineStr">
        <is>
          <t>Al reabrir el chat los mensajes anteriores se muestran con su fecha y hora</t>
        </is>
      </c>
      <c r="G44" s="30" t="inlineStr">
        <is>
          <t>Alta</t>
        </is>
      </c>
    </row>
    <row r="45" ht="40" customHeight="1">
      <c r="A45" s="31" t="inlineStr">
        <is>
          <t>RNF-01</t>
        </is>
      </c>
      <c r="B45" s="32" t="inlineStr">
        <is>
          <t>M10 Calidad</t>
        </is>
      </c>
      <c r="C45" s="33" t="inlineStr">
        <is>
          <t>Transversal</t>
        </is>
      </c>
      <c r="D45" s="33" t="inlineStr">
        <is>
          <t>No funcional</t>
        </is>
      </c>
      <c r="E45" s="32" t="inlineStr">
        <is>
          <t>Las contraseñas nunca se almacenan en texto plano</t>
        </is>
      </c>
      <c r="F45" s="32" t="inlineStr">
        <is>
          <t>Ninguna colección contiene contraseñas legibles y la autenticación la gestiona Firebase Auth</t>
        </is>
      </c>
      <c r="G45" s="33" t="inlineStr">
        <is>
          <t>Alta</t>
        </is>
      </c>
    </row>
    <row r="46" ht="40" customHeight="1">
      <c r="A46" s="28" t="inlineStr">
        <is>
          <t>RNF-02</t>
        </is>
      </c>
      <c r="B46" s="29" t="inlineStr">
        <is>
          <t>M10 Calidad</t>
        </is>
      </c>
      <c r="C46" s="30" t="inlineStr">
        <is>
          <t>Transversal</t>
        </is>
      </c>
      <c r="D46" s="30" t="inlineStr">
        <is>
          <t>No funcional</t>
        </is>
      </c>
      <c r="E46" s="29" t="inlineStr">
        <is>
          <t>Las operaciones están restringidas según el rol autenticado</t>
        </is>
      </c>
      <c r="F46" s="29" t="inlineStr">
        <is>
          <t>Un usuario no puede ejecutar operaciones de otro rol aunque manipule la petición</t>
        </is>
      </c>
      <c r="G46" s="30" t="inlineStr">
        <is>
          <t>Alta</t>
        </is>
      </c>
    </row>
    <row r="47" ht="40" customHeight="1">
      <c r="A47" s="31" t="inlineStr">
        <is>
          <t>RNF-03</t>
        </is>
      </c>
      <c r="B47" s="32" t="inlineStr">
        <is>
          <t>M10 Calidad</t>
        </is>
      </c>
      <c r="C47" s="33" t="inlineStr">
        <is>
          <t>Transversal</t>
        </is>
      </c>
      <c r="D47" s="33" t="inlineStr">
        <is>
          <t>No funcional</t>
        </is>
      </c>
      <c r="E47" s="32" t="inlineStr">
        <is>
          <t>Un cliente solo accede a sus propios datos</t>
        </is>
      </c>
      <c r="F47" s="32" t="inlineStr">
        <is>
          <t>Un cliente no puede leer reservas chats pagos ni servicios de taxi de otro cliente</t>
        </is>
      </c>
      <c r="G47" s="33" t="inlineStr">
        <is>
          <t>Alta</t>
        </is>
      </c>
    </row>
    <row r="48" ht="40" customHeight="1">
      <c r="A48" s="28" t="inlineStr">
        <is>
          <t>RNF-08</t>
        </is>
      </c>
      <c r="B48" s="29" t="inlineStr">
        <is>
          <t>M10 Calidad</t>
        </is>
      </c>
      <c r="C48" s="30" t="inlineStr">
        <is>
          <t>Transversal</t>
        </is>
      </c>
      <c r="D48" s="30" t="inlineStr">
        <is>
          <t>No funcional</t>
        </is>
      </c>
      <c r="E48" s="29" t="inlineStr">
        <is>
          <t>La persistencia de la app principal es una base de datos NoSQL</t>
        </is>
      </c>
      <c r="F48" s="29" t="inlineStr">
        <is>
          <t>El dominio persiste en Firestore y Realtime Database</t>
        </is>
      </c>
      <c r="G48" s="30" t="inlineStr">
        <is>
          <t>Alta</t>
        </is>
      </c>
    </row>
    <row r="49" ht="40" customHeight="1">
      <c r="A49" s="31" t="inlineStr">
        <is>
          <t>RNF-04</t>
        </is>
      </c>
      <c r="B49" s="32" t="inlineStr">
        <is>
          <t>M10 Calidad</t>
        </is>
      </c>
      <c r="C49" s="33" t="inlineStr">
        <is>
          <t>Transversal</t>
        </is>
      </c>
      <c r="D49" s="33" t="inlineStr">
        <is>
          <t>No funcional</t>
        </is>
      </c>
      <c r="E49" s="32" t="inlineStr">
        <is>
          <t>El sistema registra los eventos relevantes en logs consultables por el Superadmin</t>
        </is>
      </c>
      <c r="F49" s="32" t="inlineStr">
        <is>
          <t>Las operaciones relevantes generan un registro en la colección logs</t>
        </is>
      </c>
      <c r="G49" s="33" t="inlineStr">
        <is>
          <t>Media</t>
        </is>
      </c>
    </row>
    <row r="50" ht="40" customHeight="1">
      <c r="A50" s="28" t="inlineStr">
        <is>
          <t>RNF-05</t>
        </is>
      </c>
      <c r="B50" s="29" t="inlineStr">
        <is>
          <t>M10 Calidad</t>
        </is>
      </c>
      <c r="C50" s="30" t="inlineStr">
        <is>
          <t>Transversal</t>
        </is>
      </c>
      <c r="D50" s="30" t="inlineStr">
        <is>
          <t>No funcional</t>
        </is>
      </c>
      <c r="E50" s="29" t="inlineStr">
        <is>
          <t>La ubicación del taxista se actualiza periódicamente durante un servicio activo</t>
        </is>
      </c>
      <c r="F50" s="29" t="inlineStr">
        <is>
          <t>Con un servicio activo se observan actualizaciones sucesivas de la ubicación</t>
        </is>
      </c>
      <c r="G50" s="30" t="inlineStr">
        <is>
          <t>Alta</t>
        </is>
      </c>
    </row>
    <row r="51" ht="40" customHeight="1">
      <c r="A51" s="31" t="inlineStr">
        <is>
          <t>RNF-06</t>
        </is>
      </c>
      <c r="B51" s="32" t="inlineStr">
        <is>
          <t>M10 Calidad</t>
        </is>
      </c>
      <c r="C51" s="33" t="inlineStr">
        <is>
          <t>Transversal</t>
        </is>
      </c>
      <c r="D51" s="33" t="inlineStr">
        <is>
          <t>No funcional</t>
        </is>
      </c>
      <c r="E51" s="32" t="inlineStr">
        <is>
          <t>Si la API de taxistas está caída la app lo informa sin afectar el resto del sistema</t>
        </is>
      </c>
      <c r="F51" s="32" t="inlineStr">
        <is>
          <t>Con la API detenida la app muestra un aviso y las reservas siguen funcionando</t>
        </is>
      </c>
      <c r="G51" s="33" t="inlineStr">
        <is>
          <t>Alta</t>
        </is>
      </c>
    </row>
    <row r="52" ht="40" customHeight="1">
      <c r="A52" s="28" t="inlineStr">
        <is>
          <t>RNF-09</t>
        </is>
      </c>
      <c r="B52" s="29" t="inlineStr">
        <is>
          <t>M10 Calidad</t>
        </is>
      </c>
      <c r="C52" s="30" t="inlineStr">
        <is>
          <t>Transversal</t>
        </is>
      </c>
      <c r="D52" s="30" t="inlineStr">
        <is>
          <t>No funcional</t>
        </is>
      </c>
      <c r="E52" s="29" t="inlineStr">
        <is>
          <t>La app móvil no accede directamente a la base de datos del sistema de taxistas</t>
        </is>
      </c>
      <c r="F52" s="29" t="inlineStr">
        <is>
          <t>Toda información de taxistas llega por la API REST vía TaxiRepository</t>
        </is>
      </c>
      <c r="G52" s="30" t="inlineStr">
        <is>
          <t>Alta</t>
        </is>
      </c>
    </row>
  </sheetData>
  <autoFilter ref="A5:G52"/>
  <mergeCells count="3">
    <mergeCell ref="A3:G3"/>
    <mergeCell ref="A2:G2"/>
    <mergeCell ref="A1:G1"/>
  </mergeCells>
  <conditionalFormatting sqref="G6:G52">
    <cfRule type="cellIs" priority="1" operator="equal" dxfId="0">
      <formula>"Alta"</formula>
    </cfRule>
    <cfRule type="cellIs" priority="2" operator="equal" dxfId="1">
      <formula>"Media"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64" customWidth="1" min="3" max="3"/>
    <col width="24" customWidth="1" min="4" max="4"/>
    <col width="13" customWidth="1" min="5" max="5"/>
    <col width="12" customWidth="1" min="6" max="6"/>
  </cols>
  <sheetData>
    <row r="1" ht="34" customHeight="1">
      <c r="A1" s="1" t="inlineStr">
        <is>
          <t>RoomTrip · Requerimientos agrupados por rol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1TEL05 Servicios y Aplicaciones para IoT · PUCP · Semestre 2026-2</t>
        </is>
      </c>
      <c r="B2" s="4" t="n"/>
      <c r="C2" s="4" t="n"/>
      <c r="D2" s="4" t="n"/>
      <c r="E2" s="4" t="n"/>
      <c r="F2" s="4" t="n"/>
    </row>
    <row r="3" ht="16" customHeight="1">
      <c r="A3" s="17" t="inlineStr">
        <is>
          <t>Los mismos requerimientos de la hoja anterior, organizados por actor del sistema.</t>
        </is>
      </c>
    </row>
    <row r="5" ht="30" customHeight="1">
      <c r="A5" s="13" t="inlineStr">
        <is>
          <t>ID</t>
        </is>
      </c>
      <c r="B5" s="13" t="inlineStr">
        <is>
          <t>Requerimiento</t>
        </is>
      </c>
      <c r="C5" s="13" t="inlineStr">
        <is>
          <t>Criterio de aceptación</t>
        </is>
      </c>
      <c r="D5" s="13" t="inlineStr">
        <is>
          <t>Módulo</t>
        </is>
      </c>
      <c r="E5" s="13" t="inlineStr">
        <is>
          <t>Tipo</t>
        </is>
      </c>
      <c r="F5" s="13" t="inlineStr">
        <is>
          <t>Prioridad</t>
        </is>
      </c>
    </row>
    <row r="6" ht="22" customHeight="1">
      <c r="A6" s="5" t="inlineStr">
        <is>
          <t>Superadmin    ·    5 requerimientos</t>
        </is>
      </c>
      <c r="B6" s="6" t="n"/>
      <c r="C6" s="6" t="n"/>
      <c r="D6" s="6" t="n"/>
      <c r="E6" s="6" t="n"/>
      <c r="F6" s="6" t="n"/>
    </row>
    <row r="7" ht="40" customHeight="1">
      <c r="A7" s="31" t="inlineStr">
        <is>
          <t>RF-SA-01</t>
        </is>
      </c>
      <c r="B7" s="32" t="inlineStr">
        <is>
          <t>Activar y desactivar administradores de hotel taxistas y clientes</t>
        </is>
      </c>
      <c r="C7" s="32" t="inlineStr">
        <is>
          <t>Al desactivar un usuario este no puede iniciar sesión y al reactivarlo recupera el acceso</t>
        </is>
      </c>
      <c r="D7" s="33" t="inlineStr">
        <is>
          <t>M2 Gestión de usuarios</t>
        </is>
      </c>
      <c r="E7" s="33" t="inlineStr">
        <is>
          <t>Funcional</t>
        </is>
      </c>
      <c r="F7" s="33" t="inlineStr">
        <is>
          <t>Alta</t>
        </is>
      </c>
    </row>
    <row r="8" ht="40" customHeight="1">
      <c r="A8" s="31" t="inlineStr">
        <is>
          <t>RF-SA-02</t>
        </is>
      </c>
      <c r="B8" s="32" t="inlineStr">
        <is>
          <t>Registrar hoteles y asignar un administrador a cada uno</t>
        </is>
      </c>
      <c r="C8" s="32" t="inlineStr">
        <is>
          <t>Un hotel registrado queda asociado a exactamente un administrador que ve solo ese hotel</t>
        </is>
      </c>
      <c r="D8" s="33" t="inlineStr">
        <is>
          <t>M2 Gestión de usuarios</t>
        </is>
      </c>
      <c r="E8" s="33" t="inlineStr">
        <is>
          <t>Funcional</t>
        </is>
      </c>
      <c r="F8" s="33" t="inlineStr">
        <is>
          <t>Alta</t>
        </is>
      </c>
    </row>
    <row r="9" ht="40" customHeight="1">
      <c r="A9" s="31" t="inlineStr">
        <is>
          <t>RF-SA-04</t>
        </is>
      </c>
      <c r="B9" s="32" t="inlineStr">
        <is>
          <t>Generar el reporte de reservas por hotel</t>
        </is>
      </c>
      <c r="C9" s="32" t="inlineStr">
        <is>
          <t>El reporte agrupa las reservas por hotel</t>
        </is>
      </c>
      <c r="D9" s="33" t="inlineStr">
        <is>
          <t>M9 Reportes y logs</t>
        </is>
      </c>
      <c r="E9" s="33" t="inlineStr">
        <is>
          <t>Funcional</t>
        </is>
      </c>
      <c r="F9" s="33" t="inlineStr">
        <is>
          <t>Media</t>
        </is>
      </c>
    </row>
    <row r="10" ht="40" customHeight="1">
      <c r="A10" s="31" t="inlineStr">
        <is>
          <t>RF-SA-05</t>
        </is>
      </c>
      <c r="B10" s="32" t="inlineStr">
        <is>
          <t>Consultar el visor de logs de eventos del sistema</t>
        </is>
      </c>
      <c r="C10" s="32" t="inlineStr">
        <is>
          <t>El Superadmin ve los eventos registrados con fecha actor y tipo de evento</t>
        </is>
      </c>
      <c r="D10" s="33" t="inlineStr">
        <is>
          <t>M9 Reportes y logs</t>
        </is>
      </c>
      <c r="E10" s="33" t="inlineStr">
        <is>
          <t>Funcional</t>
        </is>
      </c>
      <c r="F10" s="33" t="inlineStr">
        <is>
          <t>Media</t>
        </is>
      </c>
    </row>
    <row r="11" ht="40" customHeight="1">
      <c r="A11" s="31" t="inlineStr">
        <is>
          <t>RF-SA-03</t>
        </is>
      </c>
      <c r="B11" s="32" t="inlineStr">
        <is>
          <t>Aprobar o habilitar taxistas desde la app web</t>
        </is>
      </c>
      <c r="C11" s="32" t="inlineStr">
        <is>
          <t>El taxista pasa de pendiente a habilitado y recién entonces aparece como disponible</t>
        </is>
      </c>
      <c r="D11" s="33" t="inlineStr">
        <is>
          <t>M2 Gestión de usuarios</t>
        </is>
      </c>
      <c r="E11" s="33" t="inlineStr">
        <is>
          <t>Funcional</t>
        </is>
      </c>
      <c r="F11" s="33" t="inlineStr">
        <is>
          <t>Alta</t>
        </is>
      </c>
    </row>
    <row r="13" ht="22" customHeight="1">
      <c r="A13" s="5" t="inlineStr">
        <is>
          <t>Administrador de hotel    ·    10 requerimientos</t>
        </is>
      </c>
      <c r="B13" s="6" t="n"/>
      <c r="C13" s="6" t="n"/>
      <c r="D13" s="6" t="n"/>
      <c r="E13" s="6" t="n"/>
      <c r="F13" s="6" t="n"/>
    </row>
    <row r="14" ht="40" customHeight="1">
      <c r="A14" s="31" t="inlineStr">
        <is>
          <t>RF-AH-02</t>
        </is>
      </c>
      <c r="B14" s="32" t="inlineStr">
        <is>
          <t>Subir fotos del hotel con un mínimo de 4</t>
        </is>
      </c>
      <c r="C14" s="32" t="inlineStr">
        <is>
          <t>El formulario no permite guardar con menos de 4 fotos</t>
        </is>
      </c>
      <c r="D14" s="33" t="inlineStr">
        <is>
          <t>M3 Catálogo</t>
        </is>
      </c>
      <c r="E14" s="33" t="inlineStr">
        <is>
          <t>Funcional</t>
        </is>
      </c>
      <c r="F14" s="33" t="inlineStr">
        <is>
          <t>Alta</t>
        </is>
      </c>
    </row>
    <row r="15" ht="40" customHeight="1">
      <c r="A15" s="31" t="inlineStr">
        <is>
          <t>RF-AH-03</t>
        </is>
      </c>
      <c r="B15" s="32" t="inlineStr">
        <is>
          <t>Registrar habitaciones con tipo capacidad de adultos y niños y tamaño en m2</t>
        </is>
      </c>
      <c r="C15" s="32" t="inlineStr">
        <is>
          <t>La habitación guardada muestra los 4 datos y queda listada en el hotel</t>
        </is>
      </c>
      <c r="D15" s="33" t="inlineStr">
        <is>
          <t>M3 Catálogo</t>
        </is>
      </c>
      <c r="E15" s="33" t="inlineStr">
        <is>
          <t>Funcional</t>
        </is>
      </c>
      <c r="F15" s="33" t="inlineStr">
        <is>
          <t>Alta</t>
        </is>
      </c>
    </row>
    <row r="16" ht="40" customHeight="1">
      <c r="A16" s="31" t="inlineStr">
        <is>
          <t>RF-AH-04</t>
        </is>
      </c>
      <c r="B16" s="32" t="inlineStr">
        <is>
          <t>Registrar servicios con nombre descripción precio imágenes y si tienen costo</t>
        </is>
      </c>
      <c r="C16" s="32" t="inlineStr">
        <is>
          <t>Un servicio marcado sin costo no suma al total de la reserva</t>
        </is>
      </c>
      <c r="D16" s="33" t="inlineStr">
        <is>
          <t>M3 Catálogo</t>
        </is>
      </c>
      <c r="E16" s="33" t="inlineStr">
        <is>
          <t>Funcional</t>
        </is>
      </c>
      <c r="F16" s="33" t="inlineStr">
        <is>
          <t>Alta</t>
        </is>
      </c>
    </row>
    <row r="17" ht="40" customHeight="1">
      <c r="A17" s="31" t="inlineStr">
        <is>
          <t>RF-AH-06</t>
        </is>
      </c>
      <c r="B17" s="32" t="inlineStr">
        <is>
          <t>Recibir la alerta de checkout y procesar el cobro de la tarjeta registrada</t>
        </is>
      </c>
      <c r="C17" s="32" t="inlineStr">
        <is>
          <t>Al hacer checkout el cliente el hotel recibe la alerta y puede ejecutar el cobro</t>
        </is>
      </c>
      <c r="D17" s="33" t="inlineStr">
        <is>
          <t>M5 Pagos y cobros</t>
        </is>
      </c>
      <c r="E17" s="33" t="inlineStr">
        <is>
          <t>Funcional</t>
        </is>
      </c>
      <c r="F17" s="33" t="inlineStr">
        <is>
          <t>Alta</t>
        </is>
      </c>
    </row>
    <row r="18" ht="40" customHeight="1">
      <c r="A18" s="31" t="inlineStr">
        <is>
          <t>RF-AH-09</t>
        </is>
      </c>
      <c r="B18" s="32" t="inlineStr">
        <is>
          <t>Responder los chats de clientes con reserva activa</t>
        </is>
      </c>
      <c r="C18" s="32" t="inlineStr">
        <is>
          <t>El hotel ve solo los chats de reservas activas y puede responder</t>
        </is>
      </c>
      <c r="D18" s="33" t="inlineStr">
        <is>
          <t>M7 Chat</t>
        </is>
      </c>
      <c r="E18" s="33" t="inlineStr">
        <is>
          <t>Funcional</t>
        </is>
      </c>
      <c r="F18" s="33" t="inlineStr">
        <is>
          <t>Alta</t>
        </is>
      </c>
    </row>
    <row r="19" ht="40" customHeight="1">
      <c r="A19" s="31" t="inlineStr">
        <is>
          <t>RF-AH-10</t>
        </is>
      </c>
      <c r="B19" s="32" t="inlineStr">
        <is>
          <t>Establecer el monto mínimo de reserva que da derecho al taxi gratuito al aeropuerto</t>
        </is>
      </c>
      <c r="C19" s="32" t="inlineStr">
        <is>
          <t>El hotel guarda un monto mínimo y solo las reservas que lo alcanzan habilitan la opción de taxi al cliente</t>
        </is>
      </c>
      <c r="D19" s="33" t="inlineStr">
        <is>
          <t>M8 Taxi</t>
        </is>
      </c>
      <c r="E19" s="33" t="inlineStr">
        <is>
          <t>Funcional</t>
        </is>
      </c>
      <c r="F19" s="33" t="inlineStr">
        <is>
          <t>Alta</t>
        </is>
      </c>
    </row>
    <row r="20" ht="40" customHeight="1">
      <c r="A20" s="31" t="inlineStr">
        <is>
          <t>RF-AH-07</t>
        </is>
      </c>
      <c r="B20" s="32" t="inlineStr">
        <is>
          <t>Añadir cobros adicionales por daños con monto motivo y observación</t>
        </is>
      </c>
      <c r="C20" s="32" t="inlineStr">
        <is>
          <t>El cobro adicional exige los 3 campos y se suma al total de la reserva</t>
        </is>
      </c>
      <c r="D20" s="33" t="inlineStr">
        <is>
          <t>M5 Pagos y cobros</t>
        </is>
      </c>
      <c r="E20" s="33" t="inlineStr">
        <is>
          <t>Funcional</t>
        </is>
      </c>
      <c r="F20" s="33" t="inlineStr">
        <is>
          <t>Media</t>
        </is>
      </c>
    </row>
    <row r="21" ht="40" customHeight="1">
      <c r="A21" s="31" t="inlineStr">
        <is>
          <t>RF-AH-08</t>
        </is>
      </c>
      <c r="B21" s="32" t="inlineStr">
        <is>
          <t>Reporte de ingresos por servicios adicionales ordenado de menor a mayor</t>
        </is>
      </c>
      <c r="C21" s="32" t="inlineStr">
        <is>
          <t>El reporte lista los servicios ordenados ascendentemente por monto total generado</t>
        </is>
      </c>
      <c r="D21" s="33" t="inlineStr">
        <is>
          <t>M9 Reportes y logs</t>
        </is>
      </c>
      <c r="E21" s="33" t="inlineStr">
        <is>
          <t>Funcional</t>
        </is>
      </c>
      <c r="F21" s="33" t="inlineStr">
        <is>
          <t>Media</t>
        </is>
      </c>
    </row>
    <row r="22" ht="40" customHeight="1">
      <c r="A22" s="31" t="inlineStr">
        <is>
          <t>RF-AH-01</t>
        </is>
      </c>
      <c r="B22" s="32" t="inlineStr">
        <is>
          <t>Registrar la ubicación del hotel y los lugares históricos cercanos</t>
        </is>
      </c>
      <c r="C22" s="32" t="inlineStr">
        <is>
          <t>La ubicación se selecciona en un mapa y se listan los lugares históricos cercanos asociados</t>
        </is>
      </c>
      <c r="D22" s="33" t="inlineStr">
        <is>
          <t>M3 Catálogo</t>
        </is>
      </c>
      <c r="E22" s="33" t="inlineStr">
        <is>
          <t>Funcional</t>
        </is>
      </c>
      <c r="F22" s="33" t="inlineStr">
        <is>
          <t>Alta</t>
        </is>
      </c>
    </row>
    <row r="23" ht="40" customHeight="1">
      <c r="A23" s="31" t="inlineStr">
        <is>
          <t>RF-AH-05</t>
        </is>
      </c>
      <c r="B23" s="32" t="inlineStr">
        <is>
          <t>Ver el estado del taxista asignado en camino a recoger y llegó al destino</t>
        </is>
      </c>
      <c r="C23" s="32" t="inlineStr">
        <is>
          <t>El hotel ve el estado actualizado del servicio de taxi de sus huéspedes</t>
        </is>
      </c>
      <c r="D23" s="33" t="inlineStr">
        <is>
          <t>M8 Taxi</t>
        </is>
      </c>
      <c r="E23" s="33" t="inlineStr">
        <is>
          <t>Funcional</t>
        </is>
      </c>
      <c r="F23" s="33" t="inlineStr">
        <is>
          <t>Media</t>
        </is>
      </c>
    </row>
    <row r="25" ht="22" customHeight="1">
      <c r="A25" s="5" t="inlineStr">
        <is>
          <t>Taxista    ·    7 requerimientos</t>
        </is>
      </c>
      <c r="B25" s="6" t="n"/>
      <c r="C25" s="6" t="n"/>
      <c r="D25" s="6" t="n"/>
      <c r="E25" s="6" t="n"/>
      <c r="F25" s="6" t="n"/>
    </row>
    <row r="26" ht="40" customHeight="1">
      <c r="A26" s="31" t="inlineStr">
        <is>
          <t>RF-TX-02</t>
        </is>
      </c>
      <c r="B26" s="32" t="inlineStr">
        <is>
          <t>Acceder a la app móvil una vez habilitado</t>
        </is>
      </c>
      <c r="C26" s="32" t="inlineStr">
        <is>
          <t>Un taxista no habilitado no puede iniciar sesión en la app móvil y uno habilitado sí</t>
        </is>
      </c>
      <c r="D26" s="33" t="inlineStr">
        <is>
          <t>M1 Autenticación</t>
        </is>
      </c>
      <c r="E26" s="33" t="inlineStr">
        <is>
          <t>Funcional</t>
        </is>
      </c>
      <c r="F26" s="33" t="inlineStr">
        <is>
          <t>Alta</t>
        </is>
      </c>
    </row>
    <row r="27" ht="40" customHeight="1">
      <c r="A27" s="31" t="inlineStr">
        <is>
          <t>RF-TX-03</t>
        </is>
      </c>
      <c r="B27" s="32" t="inlineStr">
        <is>
          <t>Ver hoteles y pedidos disponibles</t>
        </is>
      </c>
      <c r="C27" s="32" t="inlineStr">
        <is>
          <t>El taxista habilitado ve la lista de pedidos en estado SOLICITADO</t>
        </is>
      </c>
      <c r="D27" s="33" t="inlineStr">
        <is>
          <t>M8 Taxi</t>
        </is>
      </c>
      <c r="E27" s="33" t="inlineStr">
        <is>
          <t>Funcional</t>
        </is>
      </c>
      <c r="F27" s="33" t="inlineStr">
        <is>
          <t>Alta</t>
        </is>
      </c>
    </row>
    <row r="28" ht="40" customHeight="1">
      <c r="A28" s="31" t="inlineStr">
        <is>
          <t>RF-TX-04</t>
        </is>
      </c>
      <c r="B28" s="32" t="inlineStr">
        <is>
          <t>Aceptar un pedido que deja de estar disponible para los demás</t>
        </is>
      </c>
      <c r="C28" s="32" t="inlineStr">
        <is>
          <t>Al aceptar el servicio pasa a ASIGNADO y desaparece de la lista de los otros taxistas</t>
        </is>
      </c>
      <c r="D28" s="33" t="inlineStr">
        <is>
          <t>M8 Taxi</t>
        </is>
      </c>
      <c r="E28" s="33" t="inlineStr">
        <is>
          <t>Funcional</t>
        </is>
      </c>
      <c r="F28" s="33" t="inlineStr">
        <is>
          <t>Alta</t>
        </is>
      </c>
    </row>
    <row r="29" ht="40" customHeight="1">
      <c r="A29" s="31" t="inlineStr">
        <is>
          <t>RF-TX-06</t>
        </is>
      </c>
      <c r="B29" s="32" t="inlineStr">
        <is>
          <t>Actualizar los estados del servicio</t>
        </is>
      </c>
      <c r="C29" s="32" t="inlineStr">
        <is>
          <t>El taxista avanza el servicio por SOLICITADO ASIGNADO EN_CAMINO EN_TRASLADO y FINALIZADO</t>
        </is>
      </c>
      <c r="D29" s="33" t="inlineStr">
        <is>
          <t>M8 Taxi</t>
        </is>
      </c>
      <c r="E29" s="33" t="inlineStr">
        <is>
          <t>Funcional</t>
        </is>
      </c>
      <c r="F29" s="33" t="inlineStr">
        <is>
          <t>Alta</t>
        </is>
      </c>
    </row>
    <row r="30" ht="40" customHeight="1">
      <c r="A30" s="31" t="inlineStr">
        <is>
          <t>RF-TX-05</t>
        </is>
      </c>
      <c r="B30" s="32" t="inlineStr">
        <is>
          <t>Registrar automáticamente su ubicación durante el servicio activo</t>
        </is>
      </c>
      <c r="C30" s="32" t="inlineStr">
        <is>
          <t>Con un servicio activo la ubicación se actualiza periódicamente sin intervención del taxista</t>
        </is>
      </c>
      <c r="D30" s="33" t="inlineStr">
        <is>
          <t>M8 Taxi</t>
        </is>
      </c>
      <c r="E30" s="33" t="inlineStr">
        <is>
          <t>Funcional</t>
        </is>
      </c>
      <c r="F30" s="33" t="inlineStr">
        <is>
          <t>Alta</t>
        </is>
      </c>
    </row>
    <row r="31" ht="40" customHeight="1">
      <c r="A31" s="31" t="inlineStr">
        <is>
          <t>RF-TX-07</t>
        </is>
      </c>
      <c r="B31" s="32" t="inlineStr">
        <is>
          <t>Registrar FINALIZADO únicamente escaneando el QR del cliente</t>
        </is>
      </c>
      <c r="C31" s="32" t="inlineStr">
        <is>
          <t>El estado FINALIZADO no se puede fijar manualmente y solo se alcanza por escaneo del QR</t>
        </is>
      </c>
      <c r="D31" s="33" t="inlineStr">
        <is>
          <t>M8 Taxi</t>
        </is>
      </c>
      <c r="E31" s="33" t="inlineStr">
        <is>
          <t>Funcional</t>
        </is>
      </c>
      <c r="F31" s="33" t="inlineStr">
        <is>
          <t>Alta</t>
        </is>
      </c>
    </row>
    <row r="32" ht="40" customHeight="1">
      <c r="A32" s="31" t="inlineStr">
        <is>
          <t>RF-TX-01</t>
        </is>
      </c>
      <c r="B32" s="32" t="inlineStr">
        <is>
          <t>Autoregistrarse en la app web con todos sus datos y fotos</t>
        </is>
      </c>
      <c r="C32" s="32" t="inlineStr">
        <is>
          <t>El formulario web exige nombres apellidos tipo y número de documento fecha de nacimiento correo teléfono domicilio foto placa y foto del vehículo</t>
        </is>
      </c>
      <c r="D32" s="33" t="inlineStr">
        <is>
          <t>M1 Autenticación</t>
        </is>
      </c>
      <c r="E32" s="33" t="inlineStr">
        <is>
          <t>Funcional</t>
        </is>
      </c>
      <c r="F32" s="33" t="inlineStr">
        <is>
          <t>Alta</t>
        </is>
      </c>
    </row>
    <row r="34" ht="22" customHeight="1">
      <c r="A34" s="5" t="inlineStr">
        <is>
          <t>Cliente    ·    12 requerimientos</t>
        </is>
      </c>
      <c r="B34" s="6" t="n"/>
      <c r="C34" s="6" t="n"/>
      <c r="D34" s="6" t="n"/>
      <c r="E34" s="6" t="n"/>
      <c r="F34" s="6" t="n"/>
    </row>
    <row r="35" ht="40" customHeight="1">
      <c r="A35" s="31" t="inlineStr">
        <is>
          <t>RF-CL-01</t>
        </is>
      </c>
      <c r="B35" s="32" t="inlineStr">
        <is>
          <t>Autoregistrarse y quedar habilitado automáticamente</t>
        </is>
      </c>
      <c r="C35" s="32" t="inlineStr">
        <is>
          <t>Al completar el formulario con nombres apellidos tipo y número de documento fecha de nacimiento correo teléfono domicilio y foto la cuenta queda activa sin aprobación</t>
        </is>
      </c>
      <c r="D35" s="33" t="inlineStr">
        <is>
          <t>M1 Autenticación</t>
        </is>
      </c>
      <c r="E35" s="33" t="inlineStr">
        <is>
          <t>Funcional</t>
        </is>
      </c>
      <c r="F35" s="33" t="inlineStr">
        <is>
          <t>Alta</t>
        </is>
      </c>
    </row>
    <row r="36" ht="40" customHeight="1">
      <c r="A36" s="31" t="inlineStr">
        <is>
          <t>RF-CL-02</t>
        </is>
      </c>
      <c r="B36" s="32" t="inlineStr">
        <is>
          <t>Consultar hoteles habitaciones servicios disponibilidad y valoraciones</t>
        </is>
      </c>
      <c r="C36" s="32" t="inlineStr">
        <is>
          <t>El listado muestra hoteles con sus fotos habitaciones servicios y promedio de valoraciones</t>
        </is>
      </c>
      <c r="D36" s="33" t="inlineStr">
        <is>
          <t>M3 Catálogo</t>
        </is>
      </c>
      <c r="E36" s="33" t="inlineStr">
        <is>
          <t>Funcional</t>
        </is>
      </c>
      <c r="F36" s="33" t="inlineStr">
        <is>
          <t>Alta</t>
        </is>
      </c>
    </row>
    <row r="37" ht="40" customHeight="1">
      <c r="A37" s="31" t="inlineStr">
        <is>
          <t>RF-CL-03</t>
        </is>
      </c>
      <c r="B37" s="32" t="inlineStr">
        <is>
          <t>Reservar con tarjeta de crédito o débito simulada</t>
        </is>
      </c>
      <c r="C37" s="32" t="inlineStr">
        <is>
          <t>Tras confirmar el pago simulado la reserva queda creada y visible en el historial</t>
        </is>
      </c>
      <c r="D37" s="33" t="inlineStr">
        <is>
          <t>M4 Reservas</t>
        </is>
      </c>
      <c r="E37" s="33" t="inlineStr">
        <is>
          <t>Funcional</t>
        </is>
      </c>
      <c r="F37" s="33" t="inlineStr">
        <is>
          <t>Alta</t>
        </is>
      </c>
    </row>
    <row r="38" ht="40" customHeight="1">
      <c r="A38" s="31" t="inlineStr">
        <is>
          <t>RF-CL-04</t>
        </is>
      </c>
      <c r="B38" s="32" t="inlineStr">
        <is>
          <t>Hacer checkout y registrar valoración y observaciones obligatorias</t>
        </is>
      </c>
      <c r="C38" s="32" t="inlineStr">
        <is>
          <t>No se puede completar el checkout sin valoración y observaciones</t>
        </is>
      </c>
      <c r="D38" s="33" t="inlineStr">
        <is>
          <t>M6 Checkout y valoraciones</t>
        </is>
      </c>
      <c r="E38" s="33" t="inlineStr">
        <is>
          <t>Funcional</t>
        </is>
      </c>
      <c r="F38" s="33" t="inlineStr">
        <is>
          <t>Alta</t>
        </is>
      </c>
    </row>
    <row r="39" ht="40" customHeight="1">
      <c r="A39" s="31" t="inlineStr">
        <is>
          <t>RF-CL-05</t>
        </is>
      </c>
      <c r="B39" s="32" t="inlineStr">
        <is>
          <t>Recibir notificación cuando se le hace el cobro</t>
        </is>
      </c>
      <c r="C39" s="32" t="inlineStr">
        <is>
          <t>El cliente recibe una notificación push con el monto cobrado</t>
        </is>
      </c>
      <c r="D39" s="33" t="inlineStr">
        <is>
          <t>M5 Pagos y cobros</t>
        </is>
      </c>
      <c r="E39" s="33" t="inlineStr">
        <is>
          <t>Funcional</t>
        </is>
      </c>
      <c r="F39" s="33" t="inlineStr">
        <is>
          <t>Alta</t>
        </is>
      </c>
    </row>
    <row r="40" ht="40" customHeight="1">
      <c r="A40" s="31" t="inlineStr">
        <is>
          <t>RF-CL-07</t>
        </is>
      </c>
      <c r="B40" s="32" t="inlineStr">
        <is>
          <t>Chat privado con el hotel entre la confirmación de la reserva y el fin del checkout</t>
        </is>
      </c>
      <c r="C40" s="32" t="inlineStr">
        <is>
          <t>El chat no está disponible antes de confirmar la reserva ni después del checkout</t>
        </is>
      </c>
      <c r="D40" s="33" t="inlineStr">
        <is>
          <t>M7 Chat</t>
        </is>
      </c>
      <c r="E40" s="33" t="inlineStr">
        <is>
          <t>Funcional</t>
        </is>
      </c>
      <c r="F40" s="33" t="inlineStr">
        <is>
          <t>Alta</t>
        </is>
      </c>
    </row>
    <row r="41" ht="40" customHeight="1">
      <c r="A41" s="31" t="inlineStr">
        <is>
          <t>RF-CL-06</t>
        </is>
      </c>
      <c r="B41" s="32" t="inlineStr">
        <is>
          <t>Ver el historial de sus reservas</t>
        </is>
      </c>
      <c r="C41" s="32" t="inlineStr">
        <is>
          <t>El historial lista las reservas del cliente autenticado con fechas hotel habitación estado y monto</t>
        </is>
      </c>
      <c r="D41" s="33" t="inlineStr">
        <is>
          <t>M4 Reservas</t>
        </is>
      </c>
      <c r="E41" s="33" t="inlineStr">
        <is>
          <t>Funcional</t>
        </is>
      </c>
      <c r="F41" s="33" t="inlineStr">
        <is>
          <t>Media</t>
        </is>
      </c>
    </row>
    <row r="42" ht="40" customHeight="1">
      <c r="A42" s="31" t="inlineStr">
        <is>
          <t>RF-CL-12</t>
        </is>
      </c>
      <c r="B42" s="32" t="inlineStr">
        <is>
          <t>Consultar los lugares históricos cercanos al hotel</t>
        </is>
      </c>
      <c r="C42" s="32" t="inlineStr">
        <is>
          <t>El cliente ve la lista de lugares históricos cercanos registrados por el administrador del hotel</t>
        </is>
      </c>
      <c r="D42" s="33" t="inlineStr">
        <is>
          <t>M3 Catálogo</t>
        </is>
      </c>
      <c r="E42" s="33" t="inlineStr">
        <is>
          <t>Funcional</t>
        </is>
      </c>
      <c r="F42" s="33" t="inlineStr">
        <is>
          <t>Media</t>
        </is>
      </c>
    </row>
    <row r="43" ht="40" customHeight="1">
      <c r="A43" s="31" t="inlineStr">
        <is>
          <t>RF-CL-08</t>
        </is>
      </c>
      <c r="B43" s="32" t="inlineStr">
        <is>
          <t>Solicitar el taxi gratuito al aeropuerto si la reserva alcanza el monto mínimo</t>
        </is>
      </c>
      <c r="C43" s="32" t="inlineStr">
        <is>
          <t>La opción aparece solo si el monto de la reserva alcanza el mínimo del hotel es opcional y el cliente indica el aeropuerto destino</t>
        </is>
      </c>
      <c r="D43" s="33" t="inlineStr">
        <is>
          <t>M8 Taxi</t>
        </is>
      </c>
      <c r="E43" s="33" t="inlineStr">
        <is>
          <t>Funcional</t>
        </is>
      </c>
      <c r="F43" s="33" t="inlineStr">
        <is>
          <t>Alta</t>
        </is>
      </c>
    </row>
    <row r="44" ht="40" customHeight="1">
      <c r="A44" s="31" t="inlineStr">
        <is>
          <t>RF-CL-09</t>
        </is>
      </c>
      <c r="B44" s="32" t="inlineStr">
        <is>
          <t>Ver datos vehículo valoración y ubicación del taxista en un mapa</t>
        </is>
      </c>
      <c r="C44" s="32" t="inlineStr">
        <is>
          <t>El cliente ve nombre vehículo placa valoración y la posición del taxista actualizándose en el mapa</t>
        </is>
      </c>
      <c r="D44" s="33" t="inlineStr">
        <is>
          <t>M8 Taxi</t>
        </is>
      </c>
      <c r="E44" s="33" t="inlineStr">
        <is>
          <t>Funcional</t>
        </is>
      </c>
      <c r="F44" s="33" t="inlineStr">
        <is>
          <t>Alta</t>
        </is>
      </c>
    </row>
    <row r="45" ht="40" customHeight="1">
      <c r="A45" s="31" t="inlineStr">
        <is>
          <t>RF-CL-10</t>
        </is>
      </c>
      <c r="B45" s="32" t="inlineStr">
        <is>
          <t>Recibir el QR del hotel y mostrarlo al llegar</t>
        </is>
      </c>
      <c r="C45" s="32" t="inlineStr">
        <is>
          <t>El cliente visualiza un QR asociado al servicio de taxi</t>
        </is>
      </c>
      <c r="D45" s="33" t="inlineStr">
        <is>
          <t>M8 Taxi</t>
        </is>
      </c>
      <c r="E45" s="33" t="inlineStr">
        <is>
          <t>Funcional</t>
        </is>
      </c>
      <c r="F45" s="33" t="inlineStr">
        <is>
          <t>Alta</t>
        </is>
      </c>
    </row>
    <row r="46" ht="40" customHeight="1">
      <c r="A46" s="31" t="inlineStr">
        <is>
          <t>RF-CL-11</t>
        </is>
      </c>
      <c r="B46" s="32" t="inlineStr">
        <is>
          <t>Calificar al taxista al finalizar el servicio</t>
        </is>
      </c>
      <c r="C46" s="32" t="inlineStr">
        <is>
          <t>Al pasar el servicio a FINALIZADO la app pide la calificación del taxista</t>
        </is>
      </c>
      <c r="D46" s="33" t="inlineStr">
        <is>
          <t>M8 Taxi</t>
        </is>
      </c>
      <c r="E46" s="33" t="inlineStr">
        <is>
          <t>Funcional</t>
        </is>
      </c>
      <c r="F46" s="33" t="inlineStr">
        <is>
          <t>Media</t>
        </is>
      </c>
    </row>
    <row r="48" ht="22" customHeight="1">
      <c r="A48" s="5" t="inlineStr">
        <is>
          <t>Transversal    ·    13 requerimientos</t>
        </is>
      </c>
      <c r="B48" s="6" t="n"/>
      <c r="C48" s="6" t="n"/>
      <c r="D48" s="6" t="n"/>
      <c r="E48" s="6" t="n"/>
      <c r="F48" s="6" t="n"/>
    </row>
    <row r="49" ht="40" customHeight="1">
      <c r="A49" s="31" t="inlineStr">
        <is>
          <t>RNF-07</t>
        </is>
      </c>
      <c r="B49" s="32" t="inlineStr">
        <is>
          <t>La app móvil es Android nativa en Java con versión mínima Android 14 API 34</t>
        </is>
      </c>
      <c r="C49" s="32" t="inlineStr">
        <is>
          <t>El proyecto compila con minSdk 34 y está escrito en Java</t>
        </is>
      </c>
      <c r="D49" s="33" t="inlineStr">
        <is>
          <t>M10 Calidad</t>
        </is>
      </c>
      <c r="E49" s="33" t="inlineStr">
        <is>
          <t>No funcional</t>
        </is>
      </c>
      <c r="F49" s="33" t="inlineStr">
        <is>
          <t>Alta</t>
        </is>
      </c>
    </row>
    <row r="50" ht="40" customHeight="1">
      <c r="A50" s="31" t="inlineStr">
        <is>
          <t>RF-GN-01</t>
        </is>
      </c>
      <c r="B50" s="32" t="inlineStr">
        <is>
          <t>Una habitación no puede tener reservas de distintos clientes con períodos superpuestos</t>
        </is>
      </c>
      <c r="C50" s="32" t="inlineStr">
        <is>
          <t>Al intentar reservar fechas que se solapan con una reserva existente de esa habitación el sistema rechaza la operación</t>
        </is>
      </c>
      <c r="D50" s="33" t="inlineStr">
        <is>
          <t>M4 Reservas</t>
        </is>
      </c>
      <c r="E50" s="33" t="inlineStr">
        <is>
          <t>Funcional</t>
        </is>
      </c>
      <c r="F50" s="33" t="inlineStr">
        <is>
          <t>Alta</t>
        </is>
      </c>
    </row>
    <row r="51" ht="40" customHeight="1">
      <c r="A51" s="31" t="inlineStr">
        <is>
          <t>RF-GN-02</t>
        </is>
      </c>
      <c r="B51" s="32" t="inlineStr">
        <is>
          <t>Un mismo cliente no puede tener reservas con fechas de alojamiento superpuestas</t>
        </is>
      </c>
      <c r="C51" s="32" t="inlineStr">
        <is>
          <t>Al intentar una segunda reserva que se solapa con otra propia el sistema la rechaza</t>
        </is>
      </c>
      <c r="D51" s="33" t="inlineStr">
        <is>
          <t>M4 Reservas</t>
        </is>
      </c>
      <c r="E51" s="33" t="inlineStr">
        <is>
          <t>Funcional</t>
        </is>
      </c>
      <c r="F51" s="33" t="inlineStr">
        <is>
          <t>Alta</t>
        </is>
      </c>
    </row>
    <row r="52" ht="40" customHeight="1">
      <c r="A52" s="31" t="inlineStr">
        <is>
          <t>RF-GN-03</t>
        </is>
      </c>
      <c r="B52" s="32" t="inlineStr">
        <is>
          <t>Login único: tras autenticar se resuelve el rol y se navega al flujo correspondiente</t>
        </is>
      </c>
      <c r="C52" s="32" t="inlineStr">
        <is>
          <t>Con credenciales válidas de cada uno de los 4 roles la app abre el grafo de navegación propio de ese rol</t>
        </is>
      </c>
      <c r="D52" s="33" t="inlineStr">
        <is>
          <t>M1 Autenticación</t>
        </is>
      </c>
      <c r="E52" s="33" t="inlineStr">
        <is>
          <t>Funcional</t>
        </is>
      </c>
      <c r="F52" s="33" t="inlineStr">
        <is>
          <t>Alta</t>
        </is>
      </c>
    </row>
    <row r="53" ht="40" customHeight="1">
      <c r="A53" s="31" t="inlineStr">
        <is>
          <t>RF-GN-04</t>
        </is>
      </c>
      <c r="B53" s="32" t="inlineStr">
        <is>
          <t>Los mensajes de chat persisten con fecha y hora</t>
        </is>
      </c>
      <c r="C53" s="32" t="inlineStr">
        <is>
          <t>Al reabrir el chat los mensajes anteriores se muestran con su fecha y hora</t>
        </is>
      </c>
      <c r="D53" s="33" t="inlineStr">
        <is>
          <t>M7 Chat</t>
        </is>
      </c>
      <c r="E53" s="33" t="inlineStr">
        <is>
          <t>Funcional</t>
        </is>
      </c>
      <c r="F53" s="33" t="inlineStr">
        <is>
          <t>Alta</t>
        </is>
      </c>
    </row>
    <row r="54" ht="40" customHeight="1">
      <c r="A54" s="31" t="inlineStr">
        <is>
          <t>RNF-01</t>
        </is>
      </c>
      <c r="B54" s="32" t="inlineStr">
        <is>
          <t>Las contraseñas nunca se almacenan en texto plano</t>
        </is>
      </c>
      <c r="C54" s="32" t="inlineStr">
        <is>
          <t>Ninguna colección contiene contraseñas legibles y la autenticación la gestiona Firebase Auth</t>
        </is>
      </c>
      <c r="D54" s="33" t="inlineStr">
        <is>
          <t>M10 Calidad</t>
        </is>
      </c>
      <c r="E54" s="33" t="inlineStr">
        <is>
          <t>No funcional</t>
        </is>
      </c>
      <c r="F54" s="33" t="inlineStr">
        <is>
          <t>Alta</t>
        </is>
      </c>
    </row>
    <row r="55" ht="40" customHeight="1">
      <c r="A55" s="31" t="inlineStr">
        <is>
          <t>RNF-02</t>
        </is>
      </c>
      <c r="B55" s="32" t="inlineStr">
        <is>
          <t>Las operaciones están restringidas según el rol autenticado</t>
        </is>
      </c>
      <c r="C55" s="32" t="inlineStr">
        <is>
          <t>Un usuario no puede ejecutar operaciones de otro rol aunque manipule la petición</t>
        </is>
      </c>
      <c r="D55" s="33" t="inlineStr">
        <is>
          <t>M10 Calidad</t>
        </is>
      </c>
      <c r="E55" s="33" t="inlineStr">
        <is>
          <t>No funcional</t>
        </is>
      </c>
      <c r="F55" s="33" t="inlineStr">
        <is>
          <t>Alta</t>
        </is>
      </c>
    </row>
    <row r="56" ht="40" customHeight="1">
      <c r="A56" s="31" t="inlineStr">
        <is>
          <t>RNF-03</t>
        </is>
      </c>
      <c r="B56" s="32" t="inlineStr">
        <is>
          <t>Un cliente solo accede a sus propios datos</t>
        </is>
      </c>
      <c r="C56" s="32" t="inlineStr">
        <is>
          <t>Un cliente no puede leer reservas chats pagos ni servicios de taxi de otro cliente</t>
        </is>
      </c>
      <c r="D56" s="33" t="inlineStr">
        <is>
          <t>M10 Calidad</t>
        </is>
      </c>
      <c r="E56" s="33" t="inlineStr">
        <is>
          <t>No funcional</t>
        </is>
      </c>
      <c r="F56" s="33" t="inlineStr">
        <is>
          <t>Alta</t>
        </is>
      </c>
    </row>
    <row r="57" ht="40" customHeight="1">
      <c r="A57" s="31" t="inlineStr">
        <is>
          <t>RNF-08</t>
        </is>
      </c>
      <c r="B57" s="32" t="inlineStr">
        <is>
          <t>La persistencia de la app principal es una base de datos NoSQL</t>
        </is>
      </c>
      <c r="C57" s="32" t="inlineStr">
        <is>
          <t>El dominio persiste en Firestore y Realtime Database</t>
        </is>
      </c>
      <c r="D57" s="33" t="inlineStr">
        <is>
          <t>M10 Calidad</t>
        </is>
      </c>
      <c r="E57" s="33" t="inlineStr">
        <is>
          <t>No funcional</t>
        </is>
      </c>
      <c r="F57" s="33" t="inlineStr">
        <is>
          <t>Alta</t>
        </is>
      </c>
    </row>
    <row r="58" ht="40" customHeight="1">
      <c r="A58" s="31" t="inlineStr">
        <is>
          <t>RNF-04</t>
        </is>
      </c>
      <c r="B58" s="32" t="inlineStr">
        <is>
          <t>El sistema registra los eventos relevantes en logs consultables por el Superadmin</t>
        </is>
      </c>
      <c r="C58" s="32" t="inlineStr">
        <is>
          <t>Las operaciones relevantes generan un registro en la colección logs</t>
        </is>
      </c>
      <c r="D58" s="33" t="inlineStr">
        <is>
          <t>M10 Calidad</t>
        </is>
      </c>
      <c r="E58" s="33" t="inlineStr">
        <is>
          <t>No funcional</t>
        </is>
      </c>
      <c r="F58" s="33" t="inlineStr">
        <is>
          <t>Media</t>
        </is>
      </c>
    </row>
    <row r="59" ht="40" customHeight="1">
      <c r="A59" s="31" t="inlineStr">
        <is>
          <t>RNF-05</t>
        </is>
      </c>
      <c r="B59" s="32" t="inlineStr">
        <is>
          <t>La ubicación del taxista se actualiza periódicamente durante un servicio activo</t>
        </is>
      </c>
      <c r="C59" s="32" t="inlineStr">
        <is>
          <t>Con un servicio activo se observan actualizaciones sucesivas de la ubicación</t>
        </is>
      </c>
      <c r="D59" s="33" t="inlineStr">
        <is>
          <t>M10 Calidad</t>
        </is>
      </c>
      <c r="E59" s="33" t="inlineStr">
        <is>
          <t>No funcional</t>
        </is>
      </c>
      <c r="F59" s="33" t="inlineStr">
        <is>
          <t>Alta</t>
        </is>
      </c>
    </row>
    <row r="60" ht="40" customHeight="1">
      <c r="A60" s="31" t="inlineStr">
        <is>
          <t>RNF-06</t>
        </is>
      </c>
      <c r="B60" s="32" t="inlineStr">
        <is>
          <t>Si la API de taxistas está caída la app lo informa sin afectar el resto del sistema</t>
        </is>
      </c>
      <c r="C60" s="32" t="inlineStr">
        <is>
          <t>Con la API detenida la app muestra un aviso y las reservas siguen funcionando</t>
        </is>
      </c>
      <c r="D60" s="33" t="inlineStr">
        <is>
          <t>M10 Calidad</t>
        </is>
      </c>
      <c r="E60" s="33" t="inlineStr">
        <is>
          <t>No funcional</t>
        </is>
      </c>
      <c r="F60" s="33" t="inlineStr">
        <is>
          <t>Alta</t>
        </is>
      </c>
    </row>
    <row r="61" ht="40" customHeight="1">
      <c r="A61" s="31" t="inlineStr">
        <is>
          <t>RNF-09</t>
        </is>
      </c>
      <c r="B61" s="32" t="inlineStr">
        <is>
          <t>La app móvil no accede directamente a la base de datos del sistema de taxistas</t>
        </is>
      </c>
      <c r="C61" s="32" t="inlineStr">
        <is>
          <t>Toda información de taxistas llega por la API REST vía TaxiRepository</t>
        </is>
      </c>
      <c r="D61" s="33" t="inlineStr">
        <is>
          <t>M10 Calidad</t>
        </is>
      </c>
      <c r="E61" s="33" t="inlineStr">
        <is>
          <t>No funcional</t>
        </is>
      </c>
      <c r="F61" s="33" t="inlineStr">
        <is>
          <t>Alta</t>
        </is>
      </c>
    </row>
  </sheetData>
  <mergeCells count="8">
    <mergeCell ref="A2:F2"/>
    <mergeCell ref="A13:F13"/>
    <mergeCell ref="A1:F1"/>
    <mergeCell ref="A6:F6"/>
    <mergeCell ref="A34:F34"/>
    <mergeCell ref="A48:F48"/>
    <mergeCell ref="A3:F3"/>
    <mergeCell ref="A25:F25"/>
  </mergeCells>
  <conditionalFormatting sqref="F6:F61">
    <cfRule type="cellIs" priority="1" operator="equal" dxfId="0">
      <formula>"Alta"</formula>
    </cfRule>
    <cfRule type="cellIs" priority="2" operator="equal" dxfId="1">
      <formula>"Media"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2026-08-23T23:44:04Z</dcterms:created>
  <dcterms:modified xsi:type="dcterms:W3CDTF">2026-08-23T23:44:04Z</dcterms:modified>
</cp:coreProperties>
</file>