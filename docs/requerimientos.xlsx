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USUARIO\Desktop\roomtrip\docs\"/>
    </mc:Choice>
  </mc:AlternateContent>
  <xr:revisionPtr revIDLastSave="0" documentId="13_ncr:1_{2696148F-89F7-4969-8A29-287280992AE5}" xr6:coauthVersionLast="47" xr6:coauthVersionMax="47" xr10:uidLastSave="{00000000-0000-0000-0000-000000000000}"/>
  <bookViews>
    <workbookView xWindow="390" yWindow="195" windowWidth="21600" windowHeight="15405" activeTab="1" xr2:uid="{00000000-000D-0000-FFFF-FFFF00000000}"/>
  </bookViews>
  <sheets>
    <sheet name="Guía" sheetId="1" r:id="rId1"/>
    <sheet name="Resumen" sheetId="2" r:id="rId2"/>
    <sheet name="Requerimientos" sheetId="3" r:id="rId3"/>
    <sheet name="Por rol" sheetId="4" r:id="rId4"/>
    <sheet name="Por entregable" sheetId="5" r:id="rId5"/>
  </sheets>
  <definedNames>
    <definedName name="_xlnm._FilterDatabase" localSheetId="2" hidden="1">Requerimientos!$A$5:$N$50</definedName>
    <definedName name="_xlnm.Print_Titles" localSheetId="4">'Por entregable'!$5:$5</definedName>
    <definedName name="_xlnm.Print_Titles" localSheetId="3">'Por rol'!$5:$5</definedName>
    <definedName name="_xlnm.Print_Titles" localSheetId="2">Requerimientos!$5:$5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1" i="5" l="1"/>
  <c r="G61" i="5"/>
  <c r="F61" i="5"/>
  <c r="E61" i="5"/>
  <c r="D61" i="5"/>
  <c r="C61" i="5"/>
  <c r="B61" i="5"/>
  <c r="H60" i="5"/>
  <c r="G60" i="5"/>
  <c r="F60" i="5"/>
  <c r="E60" i="5"/>
  <c r="D60" i="5"/>
  <c r="C60" i="5"/>
  <c r="B60" i="5"/>
  <c r="H57" i="5"/>
  <c r="G57" i="5"/>
  <c r="F57" i="5"/>
  <c r="E57" i="5"/>
  <c r="D57" i="5"/>
  <c r="C57" i="5"/>
  <c r="B57" i="5"/>
  <c r="H56" i="5"/>
  <c r="G56" i="5"/>
  <c r="F56" i="5"/>
  <c r="E56" i="5"/>
  <c r="D56" i="5"/>
  <c r="C56" i="5"/>
  <c r="B56" i="5"/>
  <c r="H55" i="5"/>
  <c r="G55" i="5"/>
  <c r="F55" i="5"/>
  <c r="E55" i="5"/>
  <c r="D55" i="5"/>
  <c r="C55" i="5"/>
  <c r="B55" i="5"/>
  <c r="H54" i="5"/>
  <c r="G54" i="5"/>
  <c r="F54" i="5"/>
  <c r="E54" i="5"/>
  <c r="D54" i="5"/>
  <c r="C54" i="5"/>
  <c r="B54" i="5"/>
  <c r="H53" i="5"/>
  <c r="G53" i="5"/>
  <c r="F53" i="5"/>
  <c r="E53" i="5"/>
  <c r="D53" i="5"/>
  <c r="C53" i="5"/>
  <c r="B53" i="5"/>
  <c r="H52" i="5"/>
  <c r="G52" i="5"/>
  <c r="F52" i="5"/>
  <c r="E52" i="5"/>
  <c r="D52" i="5"/>
  <c r="C52" i="5"/>
  <c r="B52" i="5"/>
  <c r="H51" i="5"/>
  <c r="G51" i="5"/>
  <c r="F51" i="5"/>
  <c r="E51" i="5"/>
  <c r="D51" i="5"/>
  <c r="C51" i="5"/>
  <c r="B51" i="5"/>
  <c r="H50" i="5"/>
  <c r="G50" i="5"/>
  <c r="F50" i="5"/>
  <c r="E50" i="5"/>
  <c r="D50" i="5"/>
  <c r="C50" i="5"/>
  <c r="B50" i="5"/>
  <c r="H49" i="5"/>
  <c r="G49" i="5"/>
  <c r="F49" i="5"/>
  <c r="E49" i="5"/>
  <c r="D49" i="5"/>
  <c r="C49" i="5"/>
  <c r="B49" i="5"/>
  <c r="H48" i="5"/>
  <c r="G48" i="5"/>
  <c r="F48" i="5"/>
  <c r="E48" i="5"/>
  <c r="D48" i="5"/>
  <c r="C48" i="5"/>
  <c r="B48" i="5"/>
  <c r="H47" i="5"/>
  <c r="G47" i="5"/>
  <c r="F47" i="5"/>
  <c r="E47" i="5"/>
  <c r="D47" i="5"/>
  <c r="C47" i="5"/>
  <c r="B47" i="5"/>
  <c r="H46" i="5"/>
  <c r="G46" i="5"/>
  <c r="F46" i="5"/>
  <c r="E46" i="5"/>
  <c r="D46" i="5"/>
  <c r="C46" i="5"/>
  <c r="B46" i="5"/>
  <c r="H45" i="5"/>
  <c r="G45" i="5"/>
  <c r="F45" i="5"/>
  <c r="E45" i="5"/>
  <c r="D45" i="5"/>
  <c r="C45" i="5"/>
  <c r="B45" i="5"/>
  <c r="H44" i="5"/>
  <c r="G44" i="5"/>
  <c r="F44" i="5"/>
  <c r="E44" i="5"/>
  <c r="D44" i="5"/>
  <c r="C44" i="5"/>
  <c r="B44" i="5"/>
  <c r="H43" i="5"/>
  <c r="G43" i="5"/>
  <c r="F43" i="5"/>
  <c r="E43" i="5"/>
  <c r="D43" i="5"/>
  <c r="C43" i="5"/>
  <c r="B43" i="5"/>
  <c r="H42" i="5"/>
  <c r="G42" i="5"/>
  <c r="F42" i="5"/>
  <c r="E42" i="5"/>
  <c r="D42" i="5"/>
  <c r="C42" i="5"/>
  <c r="B42" i="5"/>
  <c r="H39" i="5"/>
  <c r="G39" i="5"/>
  <c r="F39" i="5"/>
  <c r="E39" i="5"/>
  <c r="D39" i="5"/>
  <c r="C39" i="5"/>
  <c r="B39" i="5"/>
  <c r="H38" i="5"/>
  <c r="G38" i="5"/>
  <c r="F38" i="5"/>
  <c r="E38" i="5"/>
  <c r="D38" i="5"/>
  <c r="C38" i="5"/>
  <c r="B38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4" i="5"/>
  <c r="G34" i="5"/>
  <c r="F34" i="5"/>
  <c r="E34" i="5"/>
  <c r="D34" i="5"/>
  <c r="C34" i="5"/>
  <c r="B34" i="5"/>
  <c r="H33" i="5"/>
  <c r="G33" i="5"/>
  <c r="F33" i="5"/>
  <c r="E33" i="5"/>
  <c r="D33" i="5"/>
  <c r="C33" i="5"/>
  <c r="B33" i="5"/>
  <c r="H32" i="5"/>
  <c r="G32" i="5"/>
  <c r="F32" i="5"/>
  <c r="E32" i="5"/>
  <c r="D32" i="5"/>
  <c r="C32" i="5"/>
  <c r="B32" i="5"/>
  <c r="H31" i="5"/>
  <c r="G31" i="5"/>
  <c r="F31" i="5"/>
  <c r="E31" i="5"/>
  <c r="D31" i="5"/>
  <c r="C31" i="5"/>
  <c r="B31" i="5"/>
  <c r="H30" i="5"/>
  <c r="G30" i="5"/>
  <c r="F30" i="5"/>
  <c r="E30" i="5"/>
  <c r="D30" i="5"/>
  <c r="C30" i="5"/>
  <c r="B30" i="5"/>
  <c r="H29" i="5"/>
  <c r="G29" i="5"/>
  <c r="F29" i="5"/>
  <c r="E29" i="5"/>
  <c r="D29" i="5"/>
  <c r="C29" i="5"/>
  <c r="B29" i="5"/>
  <c r="H28" i="5"/>
  <c r="G28" i="5"/>
  <c r="F28" i="5"/>
  <c r="E28" i="5"/>
  <c r="D28" i="5"/>
  <c r="C28" i="5"/>
  <c r="B28" i="5"/>
  <c r="H27" i="5"/>
  <c r="G27" i="5"/>
  <c r="F27" i="5"/>
  <c r="E27" i="5"/>
  <c r="D27" i="5"/>
  <c r="C27" i="5"/>
  <c r="B27" i="5"/>
  <c r="H26" i="5"/>
  <c r="G26" i="5"/>
  <c r="F26" i="5"/>
  <c r="E26" i="5"/>
  <c r="D26" i="5"/>
  <c r="C26" i="5"/>
  <c r="B26" i="5"/>
  <c r="H25" i="5"/>
  <c r="G25" i="5"/>
  <c r="F25" i="5"/>
  <c r="E25" i="5"/>
  <c r="D25" i="5"/>
  <c r="C25" i="5"/>
  <c r="B25" i="5"/>
  <c r="H24" i="5"/>
  <c r="G24" i="5"/>
  <c r="F24" i="5"/>
  <c r="E24" i="5"/>
  <c r="D24" i="5"/>
  <c r="C24" i="5"/>
  <c r="B24" i="5"/>
  <c r="H23" i="5"/>
  <c r="G23" i="5"/>
  <c r="F23" i="5"/>
  <c r="E23" i="5"/>
  <c r="D23" i="5"/>
  <c r="C23" i="5"/>
  <c r="B23" i="5"/>
  <c r="H22" i="5"/>
  <c r="G22" i="5"/>
  <c r="F22" i="5"/>
  <c r="E22" i="5"/>
  <c r="D22" i="5"/>
  <c r="C22" i="5"/>
  <c r="B22" i="5"/>
  <c r="H21" i="5"/>
  <c r="G21" i="5"/>
  <c r="F21" i="5"/>
  <c r="E21" i="5"/>
  <c r="D21" i="5"/>
  <c r="C21" i="5"/>
  <c r="B21" i="5"/>
  <c r="H18" i="5"/>
  <c r="G18" i="5"/>
  <c r="F18" i="5"/>
  <c r="E18" i="5"/>
  <c r="D18" i="5"/>
  <c r="C18" i="5"/>
  <c r="B18" i="5"/>
  <c r="H17" i="5"/>
  <c r="G17" i="5"/>
  <c r="F17" i="5"/>
  <c r="E17" i="5"/>
  <c r="D17" i="5"/>
  <c r="C17" i="5"/>
  <c r="B17" i="5"/>
  <c r="H16" i="5"/>
  <c r="G16" i="5"/>
  <c r="F16" i="5"/>
  <c r="E16" i="5"/>
  <c r="D16" i="5"/>
  <c r="C16" i="5"/>
  <c r="B16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7" i="5"/>
  <c r="G7" i="5"/>
  <c r="F7" i="5"/>
  <c r="E7" i="5"/>
  <c r="D7" i="5"/>
  <c r="C7" i="5"/>
  <c r="B7" i="5"/>
  <c r="H59" i="4"/>
  <c r="G59" i="4"/>
  <c r="F59" i="4"/>
  <c r="E59" i="4"/>
  <c r="D59" i="4"/>
  <c r="C59" i="4"/>
  <c r="B59" i="4"/>
  <c r="H58" i="4"/>
  <c r="G58" i="4"/>
  <c r="F58" i="4"/>
  <c r="E58" i="4"/>
  <c r="D58" i="4"/>
  <c r="C58" i="4"/>
  <c r="B58" i="4"/>
  <c r="H57" i="4"/>
  <c r="G57" i="4"/>
  <c r="F57" i="4"/>
  <c r="E57" i="4"/>
  <c r="D57" i="4"/>
  <c r="C57" i="4"/>
  <c r="B57" i="4"/>
  <c r="H56" i="4"/>
  <c r="G56" i="4"/>
  <c r="F56" i="4"/>
  <c r="E56" i="4"/>
  <c r="D56" i="4"/>
  <c r="C56" i="4"/>
  <c r="B56" i="4"/>
  <c r="H55" i="4"/>
  <c r="G55" i="4"/>
  <c r="F55" i="4"/>
  <c r="E55" i="4"/>
  <c r="D55" i="4"/>
  <c r="C55" i="4"/>
  <c r="B55" i="4"/>
  <c r="H54" i="4"/>
  <c r="G54" i="4"/>
  <c r="F54" i="4"/>
  <c r="E54" i="4"/>
  <c r="D54" i="4"/>
  <c r="C54" i="4"/>
  <c r="B54" i="4"/>
  <c r="H53" i="4"/>
  <c r="G53" i="4"/>
  <c r="F53" i="4"/>
  <c r="E53" i="4"/>
  <c r="D53" i="4"/>
  <c r="C53" i="4"/>
  <c r="B53" i="4"/>
  <c r="H52" i="4"/>
  <c r="G52" i="4"/>
  <c r="F52" i="4"/>
  <c r="E52" i="4"/>
  <c r="D52" i="4"/>
  <c r="C52" i="4"/>
  <c r="B52" i="4"/>
  <c r="H51" i="4"/>
  <c r="G51" i="4"/>
  <c r="F51" i="4"/>
  <c r="E51" i="4"/>
  <c r="D51" i="4"/>
  <c r="C51" i="4"/>
  <c r="B51" i="4"/>
  <c r="H50" i="4"/>
  <c r="G50" i="4"/>
  <c r="F50" i="4"/>
  <c r="E50" i="4"/>
  <c r="D50" i="4"/>
  <c r="C50" i="4"/>
  <c r="B50" i="4"/>
  <c r="H49" i="4"/>
  <c r="G49" i="4"/>
  <c r="F49" i="4"/>
  <c r="E49" i="4"/>
  <c r="D49" i="4"/>
  <c r="C49" i="4"/>
  <c r="B49" i="4"/>
  <c r="H48" i="4"/>
  <c r="G48" i="4"/>
  <c r="F48" i="4"/>
  <c r="E48" i="4"/>
  <c r="D48" i="4"/>
  <c r="C48" i="4"/>
  <c r="B48" i="4"/>
  <c r="H47" i="4"/>
  <c r="G47" i="4"/>
  <c r="F47" i="4"/>
  <c r="E47" i="4"/>
  <c r="D47" i="4"/>
  <c r="C47" i="4"/>
  <c r="B47" i="4"/>
  <c r="H44" i="4"/>
  <c r="G44" i="4"/>
  <c r="F44" i="4"/>
  <c r="E44" i="4"/>
  <c r="D44" i="4"/>
  <c r="C44" i="4"/>
  <c r="B44" i="4"/>
  <c r="H43" i="4"/>
  <c r="G43" i="4"/>
  <c r="F43" i="4"/>
  <c r="E43" i="4"/>
  <c r="D43" i="4"/>
  <c r="C43" i="4"/>
  <c r="B43" i="4"/>
  <c r="H42" i="4"/>
  <c r="G42" i="4"/>
  <c r="F42" i="4"/>
  <c r="E42" i="4"/>
  <c r="D42" i="4"/>
  <c r="C42" i="4"/>
  <c r="B42" i="4"/>
  <c r="H41" i="4"/>
  <c r="G41" i="4"/>
  <c r="F41" i="4"/>
  <c r="E41" i="4"/>
  <c r="D41" i="4"/>
  <c r="C41" i="4"/>
  <c r="B41" i="4"/>
  <c r="H40" i="4"/>
  <c r="G40" i="4"/>
  <c r="F40" i="4"/>
  <c r="E40" i="4"/>
  <c r="D40" i="4"/>
  <c r="C40" i="4"/>
  <c r="B40" i="4"/>
  <c r="H39" i="4"/>
  <c r="G39" i="4"/>
  <c r="F39" i="4"/>
  <c r="E39" i="4"/>
  <c r="D39" i="4"/>
  <c r="C39" i="4"/>
  <c r="B39" i="4"/>
  <c r="H38" i="4"/>
  <c r="G38" i="4"/>
  <c r="F38" i="4"/>
  <c r="E38" i="4"/>
  <c r="D38" i="4"/>
  <c r="C38" i="4"/>
  <c r="B38" i="4"/>
  <c r="H37" i="4"/>
  <c r="G37" i="4"/>
  <c r="F37" i="4"/>
  <c r="E37" i="4"/>
  <c r="D37" i="4"/>
  <c r="C37" i="4"/>
  <c r="B37" i="4"/>
  <c r="H36" i="4"/>
  <c r="G36" i="4"/>
  <c r="F36" i="4"/>
  <c r="E36" i="4"/>
  <c r="D36" i="4"/>
  <c r="C36" i="4"/>
  <c r="B36" i="4"/>
  <c r="H35" i="4"/>
  <c r="G35" i="4"/>
  <c r="F35" i="4"/>
  <c r="E35" i="4"/>
  <c r="D35" i="4"/>
  <c r="C35" i="4"/>
  <c r="B35" i="4"/>
  <c r="H34" i="4"/>
  <c r="G34" i="4"/>
  <c r="F34" i="4"/>
  <c r="E34" i="4"/>
  <c r="D34" i="4"/>
  <c r="C34" i="4"/>
  <c r="B34" i="4"/>
  <c r="H31" i="4"/>
  <c r="G31" i="4"/>
  <c r="F31" i="4"/>
  <c r="E31" i="4"/>
  <c r="D31" i="4"/>
  <c r="C31" i="4"/>
  <c r="B31" i="4"/>
  <c r="H30" i="4"/>
  <c r="G30" i="4"/>
  <c r="F30" i="4"/>
  <c r="E30" i="4"/>
  <c r="D30" i="4"/>
  <c r="C30" i="4"/>
  <c r="B30" i="4"/>
  <c r="H29" i="4"/>
  <c r="G29" i="4"/>
  <c r="F29" i="4"/>
  <c r="E29" i="4"/>
  <c r="D29" i="4"/>
  <c r="C29" i="4"/>
  <c r="B29" i="4"/>
  <c r="H28" i="4"/>
  <c r="G28" i="4"/>
  <c r="F28" i="4"/>
  <c r="E28" i="4"/>
  <c r="D28" i="4"/>
  <c r="C28" i="4"/>
  <c r="B28" i="4"/>
  <c r="H27" i="4"/>
  <c r="G27" i="4"/>
  <c r="F27" i="4"/>
  <c r="E27" i="4"/>
  <c r="D27" i="4"/>
  <c r="C27" i="4"/>
  <c r="B27" i="4"/>
  <c r="H26" i="4"/>
  <c r="G26" i="4"/>
  <c r="F26" i="4"/>
  <c r="E26" i="4"/>
  <c r="D26" i="4"/>
  <c r="C26" i="4"/>
  <c r="B26" i="4"/>
  <c r="H25" i="4"/>
  <c r="G25" i="4"/>
  <c r="F25" i="4"/>
  <c r="E25" i="4"/>
  <c r="D25" i="4"/>
  <c r="C25" i="4"/>
  <c r="B25" i="4"/>
  <c r="H22" i="4"/>
  <c r="G22" i="4"/>
  <c r="F22" i="4"/>
  <c r="E22" i="4"/>
  <c r="D22" i="4"/>
  <c r="C22" i="4"/>
  <c r="B22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H18" i="4"/>
  <c r="G18" i="4"/>
  <c r="F18" i="4"/>
  <c r="E18" i="4"/>
  <c r="D18" i="4"/>
  <c r="C18" i="4"/>
  <c r="B18" i="4"/>
  <c r="H17" i="4"/>
  <c r="G17" i="4"/>
  <c r="F17" i="4"/>
  <c r="E17" i="4"/>
  <c r="D17" i="4"/>
  <c r="C17" i="4"/>
  <c r="B17" i="4"/>
  <c r="H16" i="4"/>
  <c r="G16" i="4"/>
  <c r="F16" i="4"/>
  <c r="E16" i="4"/>
  <c r="D16" i="4"/>
  <c r="C16" i="4"/>
  <c r="B16" i="4"/>
  <c r="H15" i="4"/>
  <c r="G15" i="4"/>
  <c r="F15" i="4"/>
  <c r="E15" i="4"/>
  <c r="D15" i="4"/>
  <c r="C15" i="4"/>
  <c r="B15" i="4"/>
  <c r="H14" i="4"/>
  <c r="G14" i="4"/>
  <c r="F14" i="4"/>
  <c r="E14" i="4"/>
  <c r="D14" i="4"/>
  <c r="C14" i="4"/>
  <c r="B14" i="4"/>
  <c r="H11" i="4"/>
  <c r="G11" i="4"/>
  <c r="F11" i="4"/>
  <c r="E11" i="4"/>
  <c r="D11" i="4"/>
  <c r="C11" i="4"/>
  <c r="B11" i="4"/>
  <c r="H10" i="4"/>
  <c r="G10" i="4"/>
  <c r="F10" i="4"/>
  <c r="E10" i="4"/>
  <c r="D10" i="4"/>
  <c r="C10" i="4"/>
  <c r="B10" i="4"/>
  <c r="H9" i="4"/>
  <c r="G9" i="4"/>
  <c r="F9" i="4"/>
  <c r="E9" i="4"/>
  <c r="D9" i="4"/>
  <c r="C9" i="4"/>
  <c r="B9" i="4"/>
  <c r="H8" i="4"/>
  <c r="G8" i="4"/>
  <c r="F8" i="4"/>
  <c r="E8" i="4"/>
  <c r="D8" i="4"/>
  <c r="C8" i="4"/>
  <c r="B8" i="4"/>
  <c r="H7" i="4"/>
  <c r="G7" i="4"/>
  <c r="F7" i="4"/>
  <c r="E7" i="4"/>
  <c r="D7" i="4"/>
  <c r="C7" i="4"/>
  <c r="B7" i="4"/>
  <c r="E38" i="2"/>
  <c r="F38" i="2" s="1"/>
  <c r="D38" i="2"/>
  <c r="C38" i="2"/>
  <c r="B38" i="2"/>
  <c r="F37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F34" i="2" s="1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I25" i="2"/>
  <c r="G25" i="2"/>
  <c r="H25" i="2" s="1"/>
  <c r="F25" i="2"/>
  <c r="E25" i="2"/>
  <c r="D25" i="2"/>
  <c r="I24" i="2"/>
  <c r="G24" i="2"/>
  <c r="F24" i="2"/>
  <c r="E24" i="2"/>
  <c r="D24" i="2"/>
  <c r="C24" i="2"/>
  <c r="I23" i="2"/>
  <c r="G23" i="2"/>
  <c r="F23" i="2"/>
  <c r="E23" i="2"/>
  <c r="D23" i="2"/>
  <c r="C23" i="2"/>
  <c r="I22" i="2"/>
  <c r="G22" i="2"/>
  <c r="F22" i="2"/>
  <c r="E22" i="2"/>
  <c r="D22" i="2"/>
  <c r="C22" i="2"/>
  <c r="I21" i="2"/>
  <c r="G21" i="2"/>
  <c r="F21" i="2"/>
  <c r="E21" i="2"/>
  <c r="D21" i="2"/>
  <c r="C21" i="2"/>
  <c r="I20" i="2"/>
  <c r="G20" i="2"/>
  <c r="F20" i="2"/>
  <c r="E20" i="2"/>
  <c r="D20" i="2"/>
  <c r="C20" i="2"/>
  <c r="I15" i="2"/>
  <c r="G15" i="2"/>
  <c r="F15" i="2"/>
  <c r="E15" i="2"/>
  <c r="D15" i="2"/>
  <c r="C15" i="2"/>
  <c r="B15" i="2"/>
  <c r="I14" i="2"/>
  <c r="G14" i="2"/>
  <c r="H14" i="2" s="1"/>
  <c r="F14" i="2"/>
  <c r="E14" i="2"/>
  <c r="D14" i="2"/>
  <c r="C14" i="2"/>
  <c r="B14" i="2"/>
  <c r="I13" i="2"/>
  <c r="G13" i="2"/>
  <c r="F13" i="2"/>
  <c r="E13" i="2"/>
  <c r="D13" i="2"/>
  <c r="C13" i="2"/>
  <c r="B13" i="2"/>
  <c r="I12" i="2"/>
  <c r="G12" i="2"/>
  <c r="F12" i="2"/>
  <c r="E12" i="2"/>
  <c r="D12" i="2"/>
  <c r="C12" i="2"/>
  <c r="B12" i="2"/>
  <c r="I11" i="2"/>
  <c r="G11" i="2"/>
  <c r="F11" i="2"/>
  <c r="E11" i="2"/>
  <c r="D11" i="2"/>
  <c r="C11" i="2"/>
  <c r="B11" i="2"/>
  <c r="B16" i="2" s="1"/>
  <c r="I7" i="2"/>
  <c r="H7" i="2"/>
  <c r="G7" i="2"/>
  <c r="F7" i="2"/>
  <c r="E7" i="2"/>
  <c r="D7" i="2"/>
  <c r="C7" i="2"/>
  <c r="B7" i="2"/>
  <c r="A7" i="2"/>
  <c r="C16" i="2" l="1"/>
  <c r="H12" i="2"/>
  <c r="E16" i="2"/>
  <c r="H13" i="2"/>
  <c r="F29" i="2"/>
  <c r="F32" i="2"/>
  <c r="F35" i="2"/>
  <c r="F16" i="2"/>
  <c r="G16" i="2"/>
  <c r="D16" i="2"/>
  <c r="H20" i="2"/>
  <c r="H22" i="2"/>
  <c r="H24" i="2"/>
  <c r="F30" i="2"/>
  <c r="F33" i="2"/>
  <c r="F36" i="2"/>
  <c r="I16" i="2"/>
  <c r="H11" i="2"/>
  <c r="H15" i="2"/>
  <c r="H21" i="2"/>
  <c r="H23" i="2"/>
  <c r="F31" i="2"/>
  <c r="H16" i="2"/>
</calcChain>
</file>

<file path=xl/sharedStrings.xml><?xml version="1.0" encoding="utf-8"?>
<sst xmlns="http://schemas.openxmlformats.org/spreadsheetml/2006/main" count="817" uniqueCount="297">
  <si>
    <t>RoomTrip · Cómo usar este libro</t>
  </si>
  <si>
    <t>Matriz de requerimientos del proyecto · versión inicial 23/08/2026</t>
  </si>
  <si>
    <t>Hojas del libro</t>
  </si>
  <si>
    <t>Hoja</t>
  </si>
  <si>
    <t>Para qué sirve</t>
  </si>
  <si>
    <t>¿Se edita?</t>
  </si>
  <si>
    <t>Resumen</t>
  </si>
  <si>
    <t>Indicadores del proyecto: avance por rol, por entregable y por módulo. Todo calculado con fórmulas.</t>
  </si>
  <si>
    <t>No. Se actualiza solo.</t>
  </si>
  <si>
    <t>Requerimientos</t>
  </si>
  <si>
    <t>Tabla maestra con los 45 requerimientos y todos sus atributos. Tiene filtros y listas desplegables.</t>
  </si>
  <si>
    <t>Sí. Es la única hoja editable.</t>
  </si>
  <si>
    <t>Por rol</t>
  </si>
  <si>
    <t>Los mismos requerimientos agrupados por rol, para repartir el trabajo entre el equipo.</t>
  </si>
  <si>
    <t>No. Refleja la maestra.</t>
  </si>
  <si>
    <t>Por entregable</t>
  </si>
  <si>
    <t>Los mismos requerimientos agrupados por laboratorio, con la fecha de cada entrega.</t>
  </si>
  <si>
    <t>Guía</t>
  </si>
  <si>
    <t>Esta hoja: significado de cada columna y convenciones.</t>
  </si>
  <si>
    <t>No.</t>
  </si>
  <si>
    <t>Significado de las columnas</t>
  </si>
  <si>
    <t>Columna</t>
  </si>
  <si>
    <t>Qué contiene</t>
  </si>
  <si>
    <t>Valores admitidos</t>
  </si>
  <si>
    <t>ID</t>
  </si>
  <si>
    <t>Identificador trazable con el enunciado del curso.</t>
  </si>
  <si>
    <t>RF-&lt;ROL&gt;-&lt;NN&gt; · RNF-&lt;NN&gt;</t>
  </si>
  <si>
    <t>Módulo</t>
  </si>
  <si>
    <t>Agrupación funcional del sistema.</t>
  </si>
  <si>
    <t>M1 a M10</t>
  </si>
  <si>
    <t>Rol</t>
  </si>
  <si>
    <t>Quién ejecuta el requerimiento.</t>
  </si>
  <si>
    <t>Los 4 roles + Transversal</t>
  </si>
  <si>
    <t>Tipo</t>
  </si>
  <si>
    <t>Naturaleza del requerimiento.</t>
  </si>
  <si>
    <t>Funcional · No funcional</t>
  </si>
  <si>
    <t>Requerimiento</t>
  </si>
  <si>
    <t>Enunciado en una línea.</t>
  </si>
  <si>
    <t>Texto libre</t>
  </si>
  <si>
    <t>Criterio de aceptación</t>
  </si>
  <si>
    <t>Cómo se comprueba que está cumplido. Es lo que lo hace evaluable.</t>
  </si>
  <si>
    <t>Prioridad</t>
  </si>
  <si>
    <t>Urgencia relativa.</t>
  </si>
  <si>
    <t>Alta · Media · Baja</t>
  </si>
  <si>
    <t>Entregable</t>
  </si>
  <si>
    <t>Laboratorio en el que se implementa.</t>
  </si>
  <si>
    <t>Lab 3 a Lab 7 · Final</t>
  </si>
  <si>
    <t>Foco técnico</t>
  </si>
  <si>
    <t>Tecnología principal que exige ese entregable.</t>
  </si>
  <si>
    <t>Texto</t>
  </si>
  <si>
    <t>Depende de</t>
  </si>
  <si>
    <t>ID del requerimiento que debe existir antes. Define el orden de trabajo.</t>
  </si>
  <si>
    <t>Un ID o vacío</t>
  </si>
  <si>
    <t>Estado</t>
  </si>
  <si>
    <t>Avance real.</t>
  </si>
  <si>
    <t>Pendiente · En progreso · Hecho · Bloqueado</t>
  </si>
  <si>
    <t>Mockup</t>
  </si>
  <si>
    <t>Si la pantalla ya está diseñada en Figma.</t>
  </si>
  <si>
    <t>Sí · Parcial · No · NA</t>
  </si>
  <si>
    <t>Responsable</t>
  </si>
  <si>
    <t>Integrante del equipo a cargo.</t>
  </si>
  <si>
    <t>Nombre</t>
  </si>
  <si>
    <t>Observaciones</t>
  </si>
  <si>
    <t>Notas, riesgos y detalles pendientes.</t>
  </si>
  <si>
    <t>Convenciones de trabajo</t>
  </si>
  <si>
    <t>•   Editar únicamente la hoja «Requerimientos». Las demás se actualizan solas.</t>
  </si>
  <si>
    <t>•   Al añadir un requerimiento nuevo, insertar la fila dentro del rango existente para que las fórmulas del Resumen lo tomen.</t>
  </si>
  <si>
    <t>•   Los IDs no se reutilizan: si un requerimiento se elimina, su ID queda retirado.</t>
  </si>
  <si>
    <t>•   El campo «Depende de» marca el orden real de implementación; revisarlo antes de repartir tareas.</t>
  </si>
  <si>
    <t>•   Los cambios de este libro se versionan en el repositorio junto con docs/requerimientos.md.</t>
  </si>
  <si>
    <t>RoomTrip · Resumen de requerimientos</t>
  </si>
  <si>
    <t>Todos los valores se calculan con fórmulas sobre la hoja Requerimientos</t>
  </si>
  <si>
    <t>Actualiza automáticamente al cambiar el estado de un requerimiento.</t>
  </si>
  <si>
    <t>Indicadores generales</t>
  </si>
  <si>
    <t>Total de requerimientos</t>
  </si>
  <si>
    <t>Funcionales</t>
  </si>
  <si>
    <t>No funcionales</t>
  </si>
  <si>
    <t>Prioridad alta</t>
  </si>
  <si>
    <t>Hechos</t>
  </si>
  <si>
    <t>En progreso</t>
  </si>
  <si>
    <t>Pendientes</t>
  </si>
  <si>
    <t>% de avance</t>
  </si>
  <si>
    <t>Mockups faltantes</t>
  </si>
  <si>
    <t>Requerimientos por rol</t>
  </si>
  <si>
    <t>Total</t>
  </si>
  <si>
    <t>Alta</t>
  </si>
  <si>
    <t>Media</t>
  </si>
  <si>
    <t>Pendiente</t>
  </si>
  <si>
    <t>Hecho</t>
  </si>
  <si>
    <t>% avance</t>
  </si>
  <si>
    <t>Sin mockup</t>
  </si>
  <si>
    <t>Superadmin</t>
  </si>
  <si>
    <t>Administrador de hotel</t>
  </si>
  <si>
    <t>Taxista</t>
  </si>
  <si>
    <t>Cliente</t>
  </si>
  <si>
    <t>Transversal</t>
  </si>
  <si>
    <t>Requerimientos por entregable</t>
  </si>
  <si>
    <t>Fecha</t>
  </si>
  <si>
    <t>Días restantes</t>
  </si>
  <si>
    <t>Lab 3</t>
  </si>
  <si>
    <t>Lab 4</t>
  </si>
  <si>
    <t>Lab 5</t>
  </si>
  <si>
    <t>Lab 6</t>
  </si>
  <si>
    <t>Lab 7</t>
  </si>
  <si>
    <t>Final</t>
  </si>
  <si>
    <t>Por definir</t>
  </si>
  <si>
    <t>—</t>
  </si>
  <si>
    <t>Requerimientos por módulo funcional</t>
  </si>
  <si>
    <t>M1 Autenticación</t>
  </si>
  <si>
    <t>M2 Gestión de usuarios</t>
  </si>
  <si>
    <t>M3 Catálogo</t>
  </si>
  <si>
    <t>M4 Reservas</t>
  </si>
  <si>
    <t>M5 Pagos y cobros</t>
  </si>
  <si>
    <t>M6 Checkout y valoraciones</t>
  </si>
  <si>
    <t>M7 Chat</t>
  </si>
  <si>
    <t>M8 Taxi</t>
  </si>
  <si>
    <t>M9 Reportes y logs</t>
  </si>
  <si>
    <t>M10 Calidad</t>
  </si>
  <si>
    <t>RoomTrip · Matriz de requerimientos</t>
  </si>
  <si>
    <t>1TEL05 Servicios y Aplicaciones para IoT · PUCP · Semestre 2026-2</t>
  </si>
  <si>
    <t>Esta hoja es la única fuente de datos. Las hojas «Por rol» y «Por entregable» la reflejan mediante fórmulas: editar aquí y allá se actualiza solo.</t>
  </si>
  <si>
    <t>RF-SA-01</t>
  </si>
  <si>
    <t>Funcional</t>
  </si>
  <si>
    <t>Activar y desactivar administradores de hotel taxistas y clientes</t>
  </si>
  <si>
    <t>Al desactivar un usuario este no puede iniciar sesión y al reactivarlo recupera el acceso</t>
  </si>
  <si>
    <t>Firebase Authentication</t>
  </si>
  <si>
    <t>No</t>
  </si>
  <si>
    <t>RF-SA-02</t>
  </si>
  <si>
    <t>Registrar hoteles y asignar un administrador a cada uno</t>
  </si>
  <si>
    <t>Un hotel registrado queda asociado a exactamente un administrador que ve solo ese hotel</t>
  </si>
  <si>
    <t>Firebase Database</t>
  </si>
  <si>
    <t>RF-SA-04</t>
  </si>
  <si>
    <t>Generar el reporte de reservas por hotel</t>
  </si>
  <si>
    <t>El reporte agrupa las reservas por hotel</t>
  </si>
  <si>
    <t>Presentación prefinal</t>
  </si>
  <si>
    <t>RF-CL-03</t>
  </si>
  <si>
    <t>RF-SA-05</t>
  </si>
  <si>
    <t>Consultar el visor de logs de eventos del sistema</t>
  </si>
  <si>
    <t>El Superadmin ve los eventos registrados con fecha actor y tipo de evento</t>
  </si>
  <si>
    <t>RNF-04</t>
  </si>
  <si>
    <t>RF-SA-03</t>
  </si>
  <si>
    <t>Aprobar o habilitar taxistas desde la app web</t>
  </si>
  <si>
    <t>El taxista pasa de pendiente a habilitado y recién entonces aparece como disponible</t>
  </si>
  <si>
    <t>App web de taxistas</t>
  </si>
  <si>
    <t>RF-TX-01</t>
  </si>
  <si>
    <t>RF-AH-03</t>
  </si>
  <si>
    <t>Registrar habitaciones con tipo capacidad de adultos y niños y tamaño en m2</t>
  </si>
  <si>
    <t>La habitación guardada muestra los 4 datos y queda listada en el hotel</t>
  </si>
  <si>
    <t>RecyclerView</t>
  </si>
  <si>
    <t>Sí</t>
  </si>
  <si>
    <t>RF-AH-04</t>
  </si>
  <si>
    <t>Registrar servicios con nombre descripción precio imágenes y si tienen costo</t>
  </si>
  <si>
    <t>Un servicio marcado sin costo no suma al total de la reserva</t>
  </si>
  <si>
    <t>RF-AH-02</t>
  </si>
  <si>
    <t>Subir fotos del hotel con un mínimo de 4</t>
  </si>
  <si>
    <t>El formulario no permite guardar con menos de 4 fotos</t>
  </si>
  <si>
    <t>Storage local</t>
  </si>
  <si>
    <t>RF-AH-06</t>
  </si>
  <si>
    <t>Recibir la alerta de checkout y procesar el cobro de la tarjeta registrada</t>
  </si>
  <si>
    <t>Al hacer checkout el cliente el hotel recibe la alerta y puede ejecutar el cobro</t>
  </si>
  <si>
    <t>Notificaciones</t>
  </si>
  <si>
    <t>RF-CL-04</t>
  </si>
  <si>
    <t>RF-AH-01</t>
  </si>
  <si>
    <t>Registrar la ubicación del hotel y los lugares históricos cercanos</t>
  </si>
  <si>
    <t>La ubicación se selecciona en un mapa y se listan los lugares históricos cercanos asociados</t>
  </si>
  <si>
    <t>Los lugares históricos cercanos aún no están en el mockup.</t>
  </si>
  <si>
    <t>RF-AH-09</t>
  </si>
  <si>
    <t>Responder los chats de clientes con reserva activa</t>
  </si>
  <si>
    <t>El hotel ve solo los chats de reservas activas y puede responder</t>
  </si>
  <si>
    <t>RF-CL-07</t>
  </si>
  <si>
    <t>RF-AH-07</t>
  </si>
  <si>
    <t>Añadir cobros adicionales por daños con monto motivo y observación</t>
  </si>
  <si>
    <t>El cobro adicional exige los 3 campos y se suma al total de la reserva</t>
  </si>
  <si>
    <t>RF-AH-05</t>
  </si>
  <si>
    <t>Ver el estado del taxista asignado en camino a recoger y llegó al destino</t>
  </si>
  <si>
    <t>El hotel ve el estado actualizado del servicio de taxi de sus huéspedes</t>
  </si>
  <si>
    <t>RF-TX-06</t>
  </si>
  <si>
    <t>RF-AH-08</t>
  </si>
  <si>
    <t>Reporte de ingresos por servicios adicionales ordenado de menor a mayor</t>
  </si>
  <si>
    <t>El reporte lista los servicios ordenados ascendentemente por monto total generado</t>
  </si>
  <si>
    <t>Parcial</t>
  </si>
  <si>
    <t>El mockup existe pero el orden del reporte debe invertirse a menor → mayor.</t>
  </si>
  <si>
    <t>RF-TX-02</t>
  </si>
  <si>
    <t>Acceder a la app móvil una vez habilitado</t>
  </si>
  <si>
    <t>Un taxista no habilitado no puede iniciar sesión en la app móvil y uno habilitado sí</t>
  </si>
  <si>
    <t>RF-TX-03</t>
  </si>
  <si>
    <t>Ver hoteles y pedidos disponibles</t>
  </si>
  <si>
    <t>El taxista habilitado ve la lista de pedidos en estado SOLICITADO</t>
  </si>
  <si>
    <t>RF-CL-08</t>
  </si>
  <si>
    <t>RF-TX-04</t>
  </si>
  <si>
    <t>Aceptar un pedido que deja de estar disponible para los demás</t>
  </si>
  <si>
    <t>Al aceptar el servicio pasa a ASIGNADO y desaparece de la lista de los otros taxistas</t>
  </si>
  <si>
    <t>Requiere transacción para garantizar la exclusividad del pedido.</t>
  </si>
  <si>
    <t>RF-TX-05</t>
  </si>
  <si>
    <t>Registrar automáticamente su ubicación durante el servicio activo</t>
  </si>
  <si>
    <t>Con un servicio activo la ubicación se actualiza periódicamente sin intervención del taxista</t>
  </si>
  <si>
    <t>Actualizar los estados del servicio</t>
  </si>
  <si>
    <t>El taxista avanza el servicio por SOLICITADO ASIGNADO EN_CAMINO EN_TRASLADO y FINALIZADO</t>
  </si>
  <si>
    <t>RF-TX-07</t>
  </si>
  <si>
    <t>Registrar FINALIZADO únicamente escaneando el QR del cliente</t>
  </si>
  <si>
    <t>El estado FINALIZADO no se puede fijar manualmente y solo se alcanza por escaneo del QR</t>
  </si>
  <si>
    <t>RF-CL-10</t>
  </si>
  <si>
    <t>Necesita librería de escaneo de QR.</t>
  </si>
  <si>
    <t>Autoregistrarse en la app web con todos sus datos y fotos</t>
  </si>
  <si>
    <t>El formulario web exige nombres apellidos tipo y número de documento fecha de nacimiento correo teléfono domicilio foto placa y foto del vehículo</t>
  </si>
  <si>
    <t>RF-CL-02</t>
  </si>
  <si>
    <t>Consultar hoteles habitaciones servicios disponibilidad y valoraciones</t>
  </si>
  <si>
    <t>El listado muestra hoteles con sus fotos habitaciones servicios y promedio de valoraciones</t>
  </si>
  <si>
    <t>RF-CL-06</t>
  </si>
  <si>
    <t>Ver el historial de sus reservas</t>
  </si>
  <si>
    <t>El historial lista las reservas del cliente autenticado con fechas hotel habitación estado y monto</t>
  </si>
  <si>
    <t>RF-CL-05</t>
  </si>
  <si>
    <t>Recibir notificación cuando se le hace el cobro</t>
  </si>
  <si>
    <t>El cliente recibe una notificación push con el monto cobrado</t>
  </si>
  <si>
    <t>Requiere Firebase Cloud Messaging.</t>
  </si>
  <si>
    <t>RF-CL-01</t>
  </si>
  <si>
    <t>Autoregistrarse y quedar habilitado automáticamente</t>
  </si>
  <si>
    <t>Al completar el formulario con nombres apellidos tipo y número de documento fecha de nacimiento correo teléfono domicilio y foto la cuenta queda activa sin aprobación</t>
  </si>
  <si>
    <t>Faltan en el mockup el tipo de documento y la fecha de nacimiento.</t>
  </si>
  <si>
    <t>Reservar con tarjeta de crédito o débito simulada</t>
  </si>
  <si>
    <t>Tras confirmar el pago simulado la reserva queda creada y visible en el historial</t>
  </si>
  <si>
    <t>Hacer checkout y registrar valoración y observaciones obligatorias</t>
  </si>
  <si>
    <t>No se puede completar el checkout sin valoración y observaciones</t>
  </si>
  <si>
    <t>Chat privado con el hotel entre la confirmación de la reserva y el fin del checkout</t>
  </si>
  <si>
    <t>El chat no está disponible antes de confirmar la reserva ni después del checkout</t>
  </si>
  <si>
    <t>Falta enganchar el chat al bottom navigation.</t>
  </si>
  <si>
    <t>Solicitar el taxi gratuito al aeropuerto si la reserva alcanza el monto mínimo</t>
  </si>
  <si>
    <t>La opción aparece solo si el monto de la reserva alcanza el mínimo del hotel es opcional y el cliente indica el aeropuerto destino</t>
  </si>
  <si>
    <t>RF-CL-09</t>
  </si>
  <si>
    <t>Ver datos vehículo valoración y ubicación del taxista en un mapa</t>
  </si>
  <si>
    <t>El cliente ve nombre vehículo placa valoración y la posición del taxista actualizándose en el mapa</t>
  </si>
  <si>
    <t>Necesita Google Maps SDK y la ubicación desde Realtime Database.</t>
  </si>
  <si>
    <t>Recibir el QR del hotel y mostrarlo al llegar</t>
  </si>
  <si>
    <t>El cliente visualiza un QR asociado al servicio de taxi</t>
  </si>
  <si>
    <t>RF-CL-11</t>
  </si>
  <si>
    <t>Calificar al taxista al finalizar el servicio</t>
  </si>
  <si>
    <t>Al pasar el servicio a FINALIZADO la app pide la calificación del taxista</t>
  </si>
  <si>
    <t>RNF-07</t>
  </si>
  <si>
    <t>No funcional</t>
  </si>
  <si>
    <t>La app móvil es Android nativa en Java con versión mínima Android 14 API 34</t>
  </si>
  <si>
    <t>El proyecto compila con minSdk 34 y está escrito en Java</t>
  </si>
  <si>
    <t>Navegación y UI</t>
  </si>
  <si>
    <t>NA</t>
  </si>
  <si>
    <t>RF-GN-01</t>
  </si>
  <si>
    <t>Una habitación no puede tener reservas de distintos clientes con períodos superpuestos</t>
  </si>
  <si>
    <t>Al intentar reservar fechas que se solapan con una reserva existente de esa habitación el sistema rechaza la operación</t>
  </si>
  <si>
    <t>Validar con una transacción; no basta con comprobarlo en el cliente.</t>
  </si>
  <si>
    <t>RF-GN-02</t>
  </si>
  <si>
    <t>Un mismo cliente no puede tener reservas con fechas de alojamiento superpuestas</t>
  </si>
  <si>
    <t>Al intentar una segunda reserva que se solapa con otra propia el sistema la rechaza</t>
  </si>
  <si>
    <t>RF-GN-03</t>
  </si>
  <si>
    <t>Login único: tras autenticar se resuelve el rol y se navega al flujo correspondiente</t>
  </si>
  <si>
    <t>Con credenciales válidas de cada uno de los 4 roles la app abre el grafo de navegación propio de ese rol</t>
  </si>
  <si>
    <t>RF-GN-04</t>
  </si>
  <si>
    <t>Los mensajes de chat persisten con fecha y hora</t>
  </si>
  <si>
    <t>Al reabrir el chat los mensajes anteriores se muestran con su fecha y hora</t>
  </si>
  <si>
    <t>RNF-01</t>
  </si>
  <si>
    <t>Las contraseñas nunca se almacenan en texto plano</t>
  </si>
  <si>
    <t>Ninguna colección contiene contraseñas legibles y la autenticación la gestiona Firebase Auth</t>
  </si>
  <si>
    <t>RNF-02</t>
  </si>
  <si>
    <t>Las operaciones están restringidas según el rol autenticado</t>
  </si>
  <si>
    <t>Un usuario no puede ejecutar operaciones de otro rol aunque manipule la petición</t>
  </si>
  <si>
    <t>RNF-03</t>
  </si>
  <si>
    <t>Un cliente solo accede a sus propios datos</t>
  </si>
  <si>
    <t>Un cliente no puede leer reservas chats pagos ni servicios de taxi de otro cliente</t>
  </si>
  <si>
    <t>RNF-08</t>
  </si>
  <si>
    <t>La persistencia de la app principal es una base de datos NoSQL</t>
  </si>
  <si>
    <t>El dominio persiste en Firestore y Realtime Database</t>
  </si>
  <si>
    <t>El sistema registra los eventos relevantes en logs consultables por el Superadmin</t>
  </si>
  <si>
    <t>Las operaciones relevantes generan un registro en la colección logs</t>
  </si>
  <si>
    <t>RNF-05</t>
  </si>
  <si>
    <t>La ubicación del taxista se actualiza periódicamente durante un servicio activo</t>
  </si>
  <si>
    <t>Con un servicio activo se observan actualizaciones sucesivas de la ubicación</t>
  </si>
  <si>
    <t>RNF-06</t>
  </si>
  <si>
    <t>Si la API de taxistas está caída la app lo informa sin afectar el resto del sistema</t>
  </si>
  <si>
    <t>Con la API detenida la app muestra un aviso y las reservas siguen funcionando</t>
  </si>
  <si>
    <t>RNF-09</t>
  </si>
  <si>
    <t>Todo el manejo del fallo vive en TaxiRepository.</t>
  </si>
  <si>
    <t>La app móvil no accede directamente a la base de datos del sistema de taxistas</t>
  </si>
  <si>
    <t>Toda información de taxistas llega por la API REST vía TaxiRepository</t>
  </si>
  <si>
    <t>RoomTrip · Requerimientos agrupados por rol</t>
  </si>
  <si>
    <t>Vista de lectura. El contenido se trae por fórmula desde la hoja Requerimientos</t>
  </si>
  <si>
    <t>Para modificar un requerimiento, edítalo en la hoja «Requerimientos».</t>
  </si>
  <si>
    <t>Superadmin    ·    5 requerimientos</t>
  </si>
  <si>
    <t>Administrador de hotel    ·    9 requerimientos</t>
  </si>
  <si>
    <t>Taxista    ·    7 requerimientos</t>
  </si>
  <si>
    <t>Cliente    ·    11 requerimientos</t>
  </si>
  <si>
    <t>Transversal    ·    13 requerimientos</t>
  </si>
  <si>
    <t>RoomTrip · Plan por entregable</t>
  </si>
  <si>
    <t>Qué requerimiento se implementa en cada laboratorio del curso</t>
  </si>
  <si>
    <t>Vista de lectura. El contenido se trae por fórmula desde la hoja «Requerimientos».</t>
  </si>
  <si>
    <t>Lab 3    ·    15/09/2026    ·    1 requerimiento</t>
  </si>
  <si>
    <t>Lab 4    ·    29/09/2026    ·    4 requerimientos</t>
  </si>
  <si>
    <t>Lab 5    ·    20/10/2026    ·    3 requerimientos</t>
  </si>
  <si>
    <t>Lab 6    ·    03/11/2026    ·    19 requerimientos</t>
  </si>
  <si>
    <t>Lab 7    ·    14/12/2026    ·    16 requerimientos</t>
  </si>
  <si>
    <t>Final    ·    fecha por definir    ·    2 requerimientos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</si>
</sst>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dd/mm/yyyy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9"/>
      <color rgb="FFFFFFFF"/>
      <name val="Arial"/>
    </font>
    <font>
      <i/>
      <sz val="9"/>
      <color rgb="FF00696E"/>
      <name val="Arial"/>
    </font>
    <font>
      <b/>
      <sz val="10"/>
      <color rgb="FFFFFFFF"/>
      <name val="Arial"/>
    </font>
    <font>
      <sz val="10"/>
      <color rgb="FF37474F"/>
      <name val="Arial"/>
    </font>
    <font>
      <b/>
      <sz val="10"/>
      <color rgb="FF00696E"/>
      <name val="Arial"/>
    </font>
    <font>
      <b/>
      <sz val="11"/>
      <color rgb="FF00696E"/>
      <name val="Arial"/>
    </font>
    <font>
      <sz val="9"/>
      <color rgb="FF00696E"/>
      <name val="Arial"/>
    </font>
    <font>
      <b/>
      <sz val="18"/>
      <color rgb="FF00838F"/>
      <name val="Arial"/>
    </font>
    <font>
      <b/>
      <sz val="18"/>
      <color rgb="FFB71C1C"/>
      <name val="Arial"/>
    </font>
    <font>
      <b/>
      <sz val="10"/>
      <color rgb="FF37474F"/>
      <name val="Arial"/>
    </font>
  </fonts>
  <fills count="8">
    <fill>
      <patternFill patternType="none"/>
    </fill>
    <fill>
      <patternFill patternType="gray125"/>
    </fill>
    <fill>
      <patternFill patternType="solid">
        <fgColor rgb="FF00838F"/>
      </patternFill>
    </fill>
    <fill>
      <patternFill patternType="solid">
        <fgColor rgb="FF4DB6AC"/>
      </patternFill>
    </fill>
    <fill>
      <patternFill patternType="solid">
        <fgColor rgb="FF00696E"/>
      </patternFill>
    </fill>
    <fill>
      <patternFill patternType="solid">
        <fgColor rgb="FFB2DFDB"/>
      </patternFill>
    </fill>
    <fill>
      <patternFill patternType="solid">
        <fgColor rgb="FFE0F2F1"/>
      </patternFill>
    </fill>
    <fill>
      <patternFill patternType="solid">
        <fgColor rgb="FFF7FBFB"/>
      </patternFill>
    </fill>
  </fills>
  <borders count="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11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1" fillId="7" borderId="1" xfId="0" applyFont="1" applyFill="1" applyBorder="1"/>
    <xf numFmtId="0" fontId="5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5" fillId="7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7" fillId="5" borderId="1" xfId="0" applyFont="1" applyFill="1" applyBorder="1" applyAlignment="1">
      <alignment horizontal="left" vertical="center" indent="1"/>
    </xf>
    <xf numFmtId="0" fontId="0" fillId="5" borderId="1" xfId="0" applyFill="1" applyBorder="1"/>
    <xf numFmtId="0" fontId="5" fillId="0" borderId="0" xfId="0" applyFont="1" applyAlignment="1">
      <alignment horizontal="left" vertical="center" wrapText="1" inden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0" fillId="3" borderId="0" xfId="0" applyFill="1"/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27">
    <dxf>
      <font>
        <sz val="10"/>
        <color rgb="FFE65100"/>
        <name val="Arial"/>
      </font>
    </dxf>
    <dxf>
      <font>
        <b/>
        <sz val="10"/>
        <color rgb="FFB71C1C"/>
        <name val="Arial"/>
      </font>
    </dxf>
    <dxf>
      <font>
        <b/>
        <sz val="10"/>
        <color rgb="FFB71C1C"/>
        <name val="Arial"/>
      </font>
      <fill>
        <patternFill patternType="solid">
          <fgColor rgb="FFFFCDD2"/>
        </patternFill>
      </fill>
    </dxf>
    <dxf>
      <font>
        <sz val="10"/>
        <color rgb="FFE65100"/>
        <name val="Arial"/>
      </font>
      <fill>
        <patternFill patternType="solid">
          <fgColor rgb="FFFFE0B2"/>
        </patternFill>
      </fill>
    </dxf>
    <dxf>
      <font>
        <sz val="10"/>
        <color rgb="FF1B5E20"/>
        <name val="Arial"/>
      </font>
      <fill>
        <patternFill patternType="solid">
          <fgColor rgb="FFC8E6C9"/>
        </patternFill>
      </fill>
    </dxf>
    <dxf>
      <font>
        <sz val="10"/>
        <color rgb="FF546E7A"/>
        <name val="Arial"/>
      </font>
      <fill>
        <patternFill patternType="solid">
          <fgColor rgb="FFECEFF1"/>
        </patternFill>
      </fill>
    </dxf>
    <dxf>
      <font>
        <b/>
        <sz val="10"/>
        <color rgb="FFB71C1C"/>
        <name val="Arial"/>
      </font>
      <fill>
        <patternFill patternType="solid">
          <fgColor rgb="FFFFCDD2"/>
        </patternFill>
      </fill>
    </dxf>
    <dxf>
      <font>
        <b/>
        <sz val="10"/>
        <color rgb="FFE65100"/>
        <name val="Arial"/>
      </font>
      <fill>
        <patternFill patternType="solid">
          <fgColor rgb="FFFFE0B2"/>
        </patternFill>
      </fill>
    </dxf>
    <dxf>
      <font>
        <b/>
        <sz val="10"/>
        <color rgb="FF1B5E20"/>
        <name val="Arial"/>
      </font>
      <fill>
        <patternFill patternType="solid">
          <fgColor rgb="FFC8E6C9"/>
        </patternFill>
      </fill>
    </dxf>
    <dxf>
      <font>
        <sz val="10"/>
        <color rgb="FFE65100"/>
        <name val="Arial"/>
      </font>
    </dxf>
    <dxf>
      <font>
        <b/>
        <sz val="10"/>
        <color rgb="FFB71C1C"/>
        <name val="Arial"/>
      </font>
    </dxf>
    <dxf>
      <font>
        <b/>
        <sz val="10"/>
        <color rgb="FFB71C1C"/>
        <name val="Arial"/>
      </font>
      <fill>
        <patternFill patternType="solid">
          <fgColor rgb="FFFFCDD2"/>
        </patternFill>
      </fill>
    </dxf>
    <dxf>
      <font>
        <sz val="10"/>
        <color rgb="FFE65100"/>
        <name val="Arial"/>
      </font>
      <fill>
        <patternFill patternType="solid">
          <fgColor rgb="FFFFE0B2"/>
        </patternFill>
      </fill>
    </dxf>
    <dxf>
      <font>
        <sz val="10"/>
        <color rgb="FF1B5E20"/>
        <name val="Arial"/>
      </font>
      <fill>
        <patternFill patternType="solid">
          <fgColor rgb="FFC8E6C9"/>
        </patternFill>
      </fill>
    </dxf>
    <dxf>
      <font>
        <sz val="10"/>
        <color rgb="FF546E7A"/>
        <name val="Arial"/>
      </font>
      <fill>
        <patternFill patternType="solid">
          <fgColor rgb="FFECEFF1"/>
        </patternFill>
      </fill>
    </dxf>
    <dxf>
      <font>
        <b/>
        <sz val="10"/>
        <color rgb="FFB71C1C"/>
        <name val="Arial"/>
      </font>
      <fill>
        <patternFill patternType="solid">
          <fgColor rgb="FFFFCDD2"/>
        </patternFill>
      </fill>
    </dxf>
    <dxf>
      <font>
        <b/>
        <sz val="10"/>
        <color rgb="FFE65100"/>
        <name val="Arial"/>
      </font>
      <fill>
        <patternFill patternType="solid">
          <fgColor rgb="FFFFE0B2"/>
        </patternFill>
      </fill>
    </dxf>
    <dxf>
      <font>
        <b/>
        <sz val="10"/>
        <color rgb="FF1B5E20"/>
        <name val="Arial"/>
      </font>
      <fill>
        <patternFill patternType="solid">
          <fgColor rgb="FFC8E6C9"/>
        </patternFill>
      </fill>
    </dxf>
    <dxf>
      <font>
        <sz val="10"/>
        <color rgb="FFE65100"/>
        <name val="Arial"/>
      </font>
    </dxf>
    <dxf>
      <font>
        <b/>
        <sz val="10"/>
        <color rgb="FFB71C1C"/>
        <name val="Arial"/>
      </font>
    </dxf>
    <dxf>
      <font>
        <b/>
        <sz val="10"/>
        <color rgb="FFB71C1C"/>
        <name val="Arial"/>
      </font>
      <fill>
        <patternFill patternType="solid">
          <fgColor rgb="FFFFCDD2"/>
        </patternFill>
      </fill>
    </dxf>
    <dxf>
      <font>
        <sz val="10"/>
        <color rgb="FFE65100"/>
        <name val="Arial"/>
      </font>
      <fill>
        <patternFill patternType="solid">
          <fgColor rgb="FFFFE0B2"/>
        </patternFill>
      </fill>
    </dxf>
    <dxf>
      <font>
        <sz val="10"/>
        <color rgb="FF1B5E20"/>
        <name val="Arial"/>
      </font>
      <fill>
        <patternFill patternType="solid">
          <fgColor rgb="FFC8E6C9"/>
        </patternFill>
      </fill>
    </dxf>
    <dxf>
      <font>
        <sz val="10"/>
        <color rgb="FF546E7A"/>
        <name val="Arial"/>
      </font>
      <fill>
        <patternFill patternType="solid">
          <fgColor rgb="FFECEFF1"/>
        </patternFill>
      </fill>
    </dxf>
    <dxf>
      <font>
        <b/>
        <sz val="10"/>
        <color rgb="FFB71C1C"/>
        <name val="Arial"/>
      </font>
      <fill>
        <patternFill patternType="solid">
          <fgColor rgb="FFFFCDD2"/>
        </patternFill>
      </fill>
    </dxf>
    <dxf>
      <font>
        <b/>
        <sz val="10"/>
        <color rgb="FFE65100"/>
        <name val="Arial"/>
      </font>
      <fill>
        <patternFill patternType="solid">
          <fgColor rgb="FFFFE0B2"/>
        </patternFill>
      </fill>
    </dxf>
    <dxf>
      <font>
        <b/>
        <sz val="10"/>
        <color rgb="FF1B5E20"/>
        <name val="Arial"/>
      </font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Requerimientos por rol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Resumen!$B$10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Resumen!$A$11:$A$15</c:f>
              <c:strCache>
                <c:ptCount val="5"/>
                <c:pt idx="0">
                  <c:v>Superadmin</c:v>
                </c:pt>
                <c:pt idx="1">
                  <c:v>Administrador de hotel</c:v>
                </c:pt>
                <c:pt idx="2">
                  <c:v>Taxista</c:v>
                </c:pt>
                <c:pt idx="3">
                  <c:v>Cliente</c:v>
                </c:pt>
                <c:pt idx="4">
                  <c:v>Transversal</c:v>
                </c:pt>
              </c:strCache>
            </c:strRef>
          </c:cat>
          <c:val>
            <c:numRef>
              <c:f>Resumen!$B$11:$B$15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11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B-4AC7-B4AF-56CF7C3E1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Cantidad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40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showGridLines="0" workbookViewId="0"/>
  </sheetViews>
  <sheetFormatPr baseColWidth="10" defaultColWidth="9.140625" defaultRowHeight="15" x14ac:dyDescent="0.25"/>
  <cols>
    <col min="1" max="1" width="28" customWidth="1"/>
    <col min="2" max="2" width="60" customWidth="1"/>
    <col min="3" max="4" width="30" customWidth="1"/>
  </cols>
  <sheetData>
    <row r="1" spans="1:4" ht="33.950000000000003" customHeight="1" x14ac:dyDescent="0.25">
      <c r="A1" s="26" t="s">
        <v>0</v>
      </c>
      <c r="B1" s="27"/>
      <c r="C1" s="27"/>
      <c r="D1" s="27"/>
    </row>
    <row r="2" spans="1:4" ht="18" customHeight="1" x14ac:dyDescent="0.25">
      <c r="A2" s="32" t="s">
        <v>1</v>
      </c>
      <c r="B2" s="33"/>
      <c r="C2" s="33"/>
      <c r="D2" s="33"/>
    </row>
    <row r="5" spans="1:4" ht="21.95" customHeight="1" x14ac:dyDescent="0.25">
      <c r="A5" s="28" t="s">
        <v>2</v>
      </c>
      <c r="B5" s="29"/>
      <c r="C5" s="29"/>
      <c r="D5" s="29"/>
    </row>
    <row r="6" spans="1:4" ht="30" customHeight="1" x14ac:dyDescent="0.25">
      <c r="A6" s="1" t="s">
        <v>3</v>
      </c>
      <c r="B6" s="1" t="s">
        <v>4</v>
      </c>
      <c r="C6" s="1" t="s">
        <v>5</v>
      </c>
      <c r="D6" s="1"/>
    </row>
    <row r="7" spans="1:4" ht="32.1" customHeight="1" x14ac:dyDescent="0.25">
      <c r="A7" s="2" t="s">
        <v>6</v>
      </c>
      <c r="B7" s="3" t="s">
        <v>7</v>
      </c>
      <c r="C7" s="3" t="s">
        <v>8</v>
      </c>
      <c r="D7" s="4"/>
    </row>
    <row r="8" spans="1:4" ht="32.1" customHeight="1" x14ac:dyDescent="0.25">
      <c r="A8" s="2" t="s">
        <v>9</v>
      </c>
      <c r="B8" s="3" t="s">
        <v>10</v>
      </c>
      <c r="C8" s="3" t="s">
        <v>11</v>
      </c>
      <c r="D8" s="4"/>
    </row>
    <row r="9" spans="1:4" ht="32.1" customHeight="1" x14ac:dyDescent="0.25">
      <c r="A9" s="2" t="s">
        <v>12</v>
      </c>
      <c r="B9" s="3" t="s">
        <v>13</v>
      </c>
      <c r="C9" s="3" t="s">
        <v>14</v>
      </c>
      <c r="D9" s="4"/>
    </row>
    <row r="10" spans="1:4" ht="32.1" customHeight="1" x14ac:dyDescent="0.25">
      <c r="A10" s="2" t="s">
        <v>15</v>
      </c>
      <c r="B10" s="3" t="s">
        <v>16</v>
      </c>
      <c r="C10" s="3" t="s">
        <v>14</v>
      </c>
      <c r="D10" s="4"/>
    </row>
    <row r="11" spans="1:4" ht="32.1" customHeight="1" x14ac:dyDescent="0.25">
      <c r="A11" s="2" t="s">
        <v>17</v>
      </c>
      <c r="B11" s="3" t="s">
        <v>18</v>
      </c>
      <c r="C11" s="3" t="s">
        <v>19</v>
      </c>
      <c r="D11" s="4"/>
    </row>
    <row r="13" spans="1:4" ht="21.95" customHeight="1" x14ac:dyDescent="0.25">
      <c r="A13" s="28" t="s">
        <v>20</v>
      </c>
      <c r="B13" s="29"/>
      <c r="C13" s="29"/>
      <c r="D13" s="29"/>
    </row>
    <row r="14" spans="1:4" ht="30" customHeight="1" x14ac:dyDescent="0.25">
      <c r="A14" s="1" t="s">
        <v>21</v>
      </c>
      <c r="B14" s="1" t="s">
        <v>22</v>
      </c>
      <c r="C14" s="1" t="s">
        <v>23</v>
      </c>
      <c r="D14" s="1"/>
    </row>
    <row r="15" spans="1:4" ht="27.95" customHeight="1" x14ac:dyDescent="0.25">
      <c r="A15" s="2" t="s">
        <v>24</v>
      </c>
      <c r="B15" s="3" t="s">
        <v>25</v>
      </c>
      <c r="C15" s="3" t="s">
        <v>26</v>
      </c>
      <c r="D15" s="4"/>
    </row>
    <row r="16" spans="1:4" ht="27.95" customHeight="1" x14ac:dyDescent="0.25">
      <c r="A16" s="2" t="s">
        <v>27</v>
      </c>
      <c r="B16" s="3" t="s">
        <v>28</v>
      </c>
      <c r="C16" s="3" t="s">
        <v>29</v>
      </c>
      <c r="D16" s="4"/>
    </row>
    <row r="17" spans="1:4" ht="27.95" customHeight="1" x14ac:dyDescent="0.25">
      <c r="A17" s="2" t="s">
        <v>30</v>
      </c>
      <c r="B17" s="3" t="s">
        <v>31</v>
      </c>
      <c r="C17" s="3" t="s">
        <v>32</v>
      </c>
      <c r="D17" s="4"/>
    </row>
    <row r="18" spans="1:4" ht="27.95" customHeight="1" x14ac:dyDescent="0.25">
      <c r="A18" s="2" t="s">
        <v>33</v>
      </c>
      <c r="B18" s="3" t="s">
        <v>34</v>
      </c>
      <c r="C18" s="3" t="s">
        <v>35</v>
      </c>
      <c r="D18" s="4"/>
    </row>
    <row r="19" spans="1:4" ht="27.95" customHeight="1" x14ac:dyDescent="0.25">
      <c r="A19" s="2" t="s">
        <v>36</v>
      </c>
      <c r="B19" s="3" t="s">
        <v>37</v>
      </c>
      <c r="C19" s="3" t="s">
        <v>38</v>
      </c>
      <c r="D19" s="4"/>
    </row>
    <row r="20" spans="1:4" ht="27.95" customHeight="1" x14ac:dyDescent="0.25">
      <c r="A20" s="2" t="s">
        <v>39</v>
      </c>
      <c r="B20" s="3" t="s">
        <v>40</v>
      </c>
      <c r="C20" s="3" t="s">
        <v>38</v>
      </c>
      <c r="D20" s="4"/>
    </row>
    <row r="21" spans="1:4" ht="27.95" customHeight="1" x14ac:dyDescent="0.25">
      <c r="A21" s="2" t="s">
        <v>41</v>
      </c>
      <c r="B21" s="3" t="s">
        <v>42</v>
      </c>
      <c r="C21" s="3" t="s">
        <v>43</v>
      </c>
      <c r="D21" s="4"/>
    </row>
    <row r="22" spans="1:4" ht="27.95" customHeight="1" x14ac:dyDescent="0.25">
      <c r="A22" s="2" t="s">
        <v>44</v>
      </c>
      <c r="B22" s="3" t="s">
        <v>45</v>
      </c>
      <c r="C22" s="3" t="s">
        <v>46</v>
      </c>
      <c r="D22" s="4"/>
    </row>
    <row r="23" spans="1:4" ht="27.95" customHeight="1" x14ac:dyDescent="0.25">
      <c r="A23" s="2" t="s">
        <v>47</v>
      </c>
      <c r="B23" s="3" t="s">
        <v>48</v>
      </c>
      <c r="C23" s="3" t="s">
        <v>49</v>
      </c>
      <c r="D23" s="4"/>
    </row>
    <row r="24" spans="1:4" ht="27.95" customHeight="1" x14ac:dyDescent="0.25">
      <c r="A24" s="2" t="s">
        <v>50</v>
      </c>
      <c r="B24" s="3" t="s">
        <v>51</v>
      </c>
      <c r="C24" s="3" t="s">
        <v>52</v>
      </c>
      <c r="D24" s="4"/>
    </row>
    <row r="25" spans="1:4" ht="27.95" customHeight="1" x14ac:dyDescent="0.25">
      <c r="A25" s="2" t="s">
        <v>53</v>
      </c>
      <c r="B25" s="3" t="s">
        <v>54</v>
      </c>
      <c r="C25" s="3" t="s">
        <v>55</v>
      </c>
      <c r="D25" s="4"/>
    </row>
    <row r="26" spans="1:4" ht="27.95" customHeight="1" x14ac:dyDescent="0.25">
      <c r="A26" s="2" t="s">
        <v>56</v>
      </c>
      <c r="B26" s="3" t="s">
        <v>57</v>
      </c>
      <c r="C26" s="3" t="s">
        <v>58</v>
      </c>
      <c r="D26" s="4"/>
    </row>
    <row r="27" spans="1:4" ht="27.95" customHeight="1" x14ac:dyDescent="0.25">
      <c r="A27" s="2" t="s">
        <v>59</v>
      </c>
      <c r="B27" s="3" t="s">
        <v>60</v>
      </c>
      <c r="C27" s="3" t="s">
        <v>61</v>
      </c>
      <c r="D27" s="4"/>
    </row>
    <row r="28" spans="1:4" ht="27.95" customHeight="1" x14ac:dyDescent="0.25">
      <c r="A28" s="2" t="s">
        <v>62</v>
      </c>
      <c r="B28" s="3" t="s">
        <v>63</v>
      </c>
      <c r="C28" s="3" t="s">
        <v>38</v>
      </c>
      <c r="D28" s="4"/>
    </row>
    <row r="30" spans="1:4" ht="21.95" customHeight="1" x14ac:dyDescent="0.25">
      <c r="A30" s="28" t="s">
        <v>64</v>
      </c>
      <c r="B30" s="29"/>
      <c r="C30" s="29"/>
      <c r="D30" s="29"/>
    </row>
    <row r="31" spans="1:4" ht="21.95" customHeight="1" x14ac:dyDescent="0.25">
      <c r="A31" s="30" t="s">
        <v>65</v>
      </c>
      <c r="B31" s="31"/>
      <c r="C31" s="31"/>
      <c r="D31" s="31"/>
    </row>
    <row r="32" spans="1:4" ht="21.95" customHeight="1" x14ac:dyDescent="0.25">
      <c r="A32" s="30" t="s">
        <v>66</v>
      </c>
      <c r="B32" s="31"/>
      <c r="C32" s="31"/>
      <c r="D32" s="31"/>
    </row>
    <row r="33" spans="1:4" ht="21.95" customHeight="1" x14ac:dyDescent="0.25">
      <c r="A33" s="30" t="s">
        <v>67</v>
      </c>
      <c r="B33" s="31"/>
      <c r="C33" s="31"/>
      <c r="D33" s="31"/>
    </row>
    <row r="34" spans="1:4" ht="21.95" customHeight="1" x14ac:dyDescent="0.25">
      <c r="A34" s="30" t="s">
        <v>68</v>
      </c>
      <c r="B34" s="31"/>
      <c r="C34" s="31"/>
      <c r="D34" s="31"/>
    </row>
    <row r="35" spans="1:4" ht="21.95" customHeight="1" x14ac:dyDescent="0.25">
      <c r="A35" s="30" t="s">
        <v>69</v>
      </c>
      <c r="B35" s="31"/>
      <c r="C35" s="31"/>
      <c r="D35" s="31"/>
    </row>
  </sheetData>
  <mergeCells count="10">
    <mergeCell ref="A1:D1"/>
    <mergeCell ref="A5:D5"/>
    <mergeCell ref="A31:D31"/>
    <mergeCell ref="A34:D34"/>
    <mergeCell ref="A35:D35"/>
    <mergeCell ref="A30:D30"/>
    <mergeCell ref="A2:D2"/>
    <mergeCell ref="A33:D33"/>
    <mergeCell ref="A32:D3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showGridLines="0" tabSelected="1" workbookViewId="0">
      <pane ySplit="4" topLeftCell="A5" activePane="bottomLeft" state="frozen"/>
      <selection pane="bottomLeft" sqref="A1:I1"/>
    </sheetView>
  </sheetViews>
  <sheetFormatPr baseColWidth="10" defaultColWidth="9.140625" defaultRowHeight="15" x14ac:dyDescent="0.25"/>
  <cols>
    <col min="1" max="1" width="26" customWidth="1"/>
    <col min="2" max="3" width="12" customWidth="1"/>
    <col min="4" max="4" width="14" customWidth="1"/>
    <col min="5" max="5" width="12" customWidth="1"/>
    <col min="6" max="6" width="14" customWidth="1"/>
    <col min="7" max="7" width="12" customWidth="1"/>
    <col min="8" max="9" width="14" customWidth="1"/>
  </cols>
  <sheetData>
    <row r="1" spans="1:9" ht="33.950000000000003" customHeight="1" x14ac:dyDescent="0.25">
      <c r="A1" s="26" t="s">
        <v>70</v>
      </c>
      <c r="B1" s="27"/>
      <c r="C1" s="27"/>
      <c r="D1" s="27"/>
      <c r="E1" s="27"/>
      <c r="F1" s="27"/>
      <c r="G1" s="27"/>
      <c r="H1" s="27"/>
      <c r="I1" s="27"/>
    </row>
    <row r="2" spans="1:9" ht="18" customHeight="1" x14ac:dyDescent="0.25">
      <c r="A2" s="32" t="s">
        <v>71</v>
      </c>
      <c r="B2" s="33"/>
      <c r="C2" s="33"/>
      <c r="D2" s="33"/>
      <c r="E2" s="33"/>
      <c r="F2" s="33"/>
      <c r="G2" s="33"/>
      <c r="H2" s="33"/>
      <c r="I2" s="33"/>
    </row>
    <row r="3" spans="1:9" ht="15.95" customHeight="1" x14ac:dyDescent="0.25">
      <c r="A3" s="34" t="s">
        <v>72</v>
      </c>
      <c r="B3" s="31"/>
      <c r="C3" s="31"/>
      <c r="D3" s="31"/>
      <c r="E3" s="31"/>
      <c r="F3" s="31"/>
      <c r="G3" s="31"/>
      <c r="H3" s="31"/>
      <c r="I3" s="31"/>
    </row>
    <row r="5" spans="1:9" ht="21.95" customHeight="1" x14ac:dyDescent="0.25">
      <c r="A5" s="28" t="s">
        <v>73</v>
      </c>
      <c r="B5" s="29"/>
      <c r="C5" s="29"/>
      <c r="D5" s="29"/>
      <c r="E5" s="29"/>
      <c r="F5" s="29"/>
      <c r="G5" s="29"/>
      <c r="H5" s="29"/>
      <c r="I5" s="29"/>
    </row>
    <row r="6" spans="1:9" ht="30" customHeight="1" x14ac:dyDescent="0.25">
      <c r="A6" s="5" t="s">
        <v>74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80</v>
      </c>
      <c r="H6" s="5" t="s">
        <v>81</v>
      </c>
      <c r="I6" s="5" t="s">
        <v>82</v>
      </c>
    </row>
    <row r="7" spans="1:9" ht="33.950000000000003" customHeight="1" x14ac:dyDescent="0.25">
      <c r="A7" s="6">
        <f>COUNTA(Requerimientos!$A$6:$A$50)</f>
        <v>45</v>
      </c>
      <c r="B7" s="6">
        <f>COUNTIF(Requerimientos!$D$6:$D$50,"Funcional")</f>
        <v>36</v>
      </c>
      <c r="C7" s="6">
        <f>COUNTIF(Requerimientos!$D$6:$D$50,"No funcional")</f>
        <v>9</v>
      </c>
      <c r="D7" s="6">
        <f>COUNTIF(Requerimientos!$G$6:$G$50,"Alta")</f>
        <v>37</v>
      </c>
      <c r="E7" s="6">
        <f>COUNTIF(Requerimientos!$K$6:$K$50,"Hecho")</f>
        <v>0</v>
      </c>
      <c r="F7" s="6">
        <f>COUNTIF(Requerimientos!$K$6:$K$50,"En progreso")</f>
        <v>0</v>
      </c>
      <c r="G7" s="6">
        <f>COUNTIF(Requerimientos!$K$6:$K$50,"Pendiente")</f>
        <v>45</v>
      </c>
      <c r="H7" s="7">
        <f>IFERROR(COUNTIF(Requerimientos!$K$6:$K$50,"Hecho")/COUNTA(Requerimientos!$A$6:$A$50),0)</f>
        <v>0</v>
      </c>
      <c r="I7" s="8">
        <f>COUNTIF(Requerimientos!$L$6:$L$50,"No")</f>
        <v>17</v>
      </c>
    </row>
    <row r="9" spans="1:9" ht="21.95" customHeight="1" x14ac:dyDescent="0.25">
      <c r="A9" s="28" t="s">
        <v>83</v>
      </c>
      <c r="B9" s="29"/>
      <c r="C9" s="29"/>
      <c r="D9" s="29"/>
      <c r="E9" s="29"/>
      <c r="F9" s="29"/>
      <c r="G9" s="29"/>
      <c r="H9" s="29"/>
      <c r="I9" s="29"/>
    </row>
    <row r="10" spans="1:9" ht="30" customHeight="1" x14ac:dyDescent="0.25">
      <c r="A10" s="1" t="s">
        <v>30</v>
      </c>
      <c r="B10" s="1" t="s">
        <v>84</v>
      </c>
      <c r="C10" s="1" t="s">
        <v>85</v>
      </c>
      <c r="D10" s="1" t="s">
        <v>86</v>
      </c>
      <c r="E10" s="1" t="s">
        <v>87</v>
      </c>
      <c r="F10" s="1" t="s">
        <v>79</v>
      </c>
      <c r="G10" s="1" t="s">
        <v>88</v>
      </c>
      <c r="H10" s="1" t="s">
        <v>89</v>
      </c>
      <c r="I10" s="1" t="s">
        <v>90</v>
      </c>
    </row>
    <row r="11" spans="1:9" x14ac:dyDescent="0.25">
      <c r="A11" s="9" t="s">
        <v>91</v>
      </c>
      <c r="B11" s="10">
        <f>COUNTIF(Requerimientos!$C$6:$C$50,$A11)</f>
        <v>5</v>
      </c>
      <c r="C11" s="10">
        <f>COUNTIFS(Requerimientos!$C$6:$C$50,$A11,Requerimientos!$G$6:$G$50,"Alta")</f>
        <v>3</v>
      </c>
      <c r="D11" s="10">
        <f>COUNTIFS(Requerimientos!$C$6:$C$50,$A11,Requerimientos!$G$6:$G$50,"Media")</f>
        <v>2</v>
      </c>
      <c r="E11" s="10">
        <f>COUNTIFS(Requerimientos!$C$6:$C$50,$A11,Requerimientos!$K$6:$K$50,"Pendiente")</f>
        <v>5</v>
      </c>
      <c r="F11" s="10">
        <f>COUNTIFS(Requerimientos!$C$6:$C$50,$A11,Requerimientos!$K$6:$K$50,"En progreso")</f>
        <v>0</v>
      </c>
      <c r="G11" s="10">
        <f>COUNTIFS(Requerimientos!$C$6:$C$50,$A11,Requerimientos!$K$6:$K$50,"Hecho")</f>
        <v>0</v>
      </c>
      <c r="H11" s="11">
        <f t="shared" ref="H11:H16" si="0">IFERROR($G11/$B11,0)</f>
        <v>0</v>
      </c>
      <c r="I11" s="10">
        <f>COUNTIFS(Requerimientos!$C$6:$C$50,$A11,Requerimientos!$L$6:$L$50,"No")</f>
        <v>5</v>
      </c>
    </row>
    <row r="12" spans="1:9" x14ac:dyDescent="0.25">
      <c r="A12" s="12" t="s">
        <v>92</v>
      </c>
      <c r="B12" s="13">
        <f>COUNTIF(Requerimientos!$C$6:$C$50,$A12)</f>
        <v>9</v>
      </c>
      <c r="C12" s="13">
        <f>COUNTIFS(Requerimientos!$C$6:$C$50,$A12,Requerimientos!$G$6:$G$50,"Alta")</f>
        <v>6</v>
      </c>
      <c r="D12" s="13">
        <f>COUNTIFS(Requerimientos!$C$6:$C$50,$A12,Requerimientos!$G$6:$G$50,"Media")</f>
        <v>3</v>
      </c>
      <c r="E12" s="13">
        <f>COUNTIFS(Requerimientos!$C$6:$C$50,$A12,Requerimientos!$K$6:$K$50,"Pendiente")</f>
        <v>9</v>
      </c>
      <c r="F12" s="13">
        <f>COUNTIFS(Requerimientos!$C$6:$C$50,$A12,Requerimientos!$K$6:$K$50,"En progreso")</f>
        <v>0</v>
      </c>
      <c r="G12" s="13">
        <f>COUNTIFS(Requerimientos!$C$6:$C$50,$A12,Requerimientos!$K$6:$K$50,"Hecho")</f>
        <v>0</v>
      </c>
      <c r="H12" s="14">
        <f t="shared" si="0"/>
        <v>0</v>
      </c>
      <c r="I12" s="13">
        <f>COUNTIFS(Requerimientos!$C$6:$C$50,$A12,Requerimientos!$L$6:$L$50,"No")</f>
        <v>1</v>
      </c>
    </row>
    <row r="13" spans="1:9" x14ac:dyDescent="0.25">
      <c r="A13" s="9" t="s">
        <v>93</v>
      </c>
      <c r="B13" s="10">
        <f>COUNTIF(Requerimientos!$C$6:$C$50,$A13)</f>
        <v>7</v>
      </c>
      <c r="C13" s="10">
        <f>COUNTIFS(Requerimientos!$C$6:$C$50,$A13,Requerimientos!$G$6:$G$50,"Alta")</f>
        <v>7</v>
      </c>
      <c r="D13" s="10">
        <f>COUNTIFS(Requerimientos!$C$6:$C$50,$A13,Requerimientos!$G$6:$G$50,"Media")</f>
        <v>0</v>
      </c>
      <c r="E13" s="10">
        <f>COUNTIFS(Requerimientos!$C$6:$C$50,$A13,Requerimientos!$K$6:$K$50,"Pendiente")</f>
        <v>7</v>
      </c>
      <c r="F13" s="10">
        <f>COUNTIFS(Requerimientos!$C$6:$C$50,$A13,Requerimientos!$K$6:$K$50,"En progreso")</f>
        <v>0</v>
      </c>
      <c r="G13" s="10">
        <f>COUNTIFS(Requerimientos!$C$6:$C$50,$A13,Requerimientos!$K$6:$K$50,"Hecho")</f>
        <v>0</v>
      </c>
      <c r="H13" s="11">
        <f t="shared" si="0"/>
        <v>0</v>
      </c>
      <c r="I13" s="10">
        <f>COUNTIFS(Requerimientos!$C$6:$C$50,$A13,Requerimientos!$L$6:$L$50,"No")</f>
        <v>7</v>
      </c>
    </row>
    <row r="14" spans="1:9" x14ac:dyDescent="0.25">
      <c r="A14" s="12" t="s">
        <v>94</v>
      </c>
      <c r="B14" s="13">
        <f>COUNTIF(Requerimientos!$C$6:$C$50,$A14)</f>
        <v>11</v>
      </c>
      <c r="C14" s="13">
        <f>COUNTIFS(Requerimientos!$C$6:$C$50,$A14,Requerimientos!$G$6:$G$50,"Alta")</f>
        <v>9</v>
      </c>
      <c r="D14" s="13">
        <f>COUNTIFS(Requerimientos!$C$6:$C$50,$A14,Requerimientos!$G$6:$G$50,"Media")</f>
        <v>2</v>
      </c>
      <c r="E14" s="13">
        <f>COUNTIFS(Requerimientos!$C$6:$C$50,$A14,Requerimientos!$K$6:$K$50,"Pendiente")</f>
        <v>11</v>
      </c>
      <c r="F14" s="13">
        <f>COUNTIFS(Requerimientos!$C$6:$C$50,$A14,Requerimientos!$K$6:$K$50,"En progreso")</f>
        <v>0</v>
      </c>
      <c r="G14" s="13">
        <f>COUNTIFS(Requerimientos!$C$6:$C$50,$A14,Requerimientos!$K$6:$K$50,"Hecho")</f>
        <v>0</v>
      </c>
      <c r="H14" s="14">
        <f t="shared" si="0"/>
        <v>0</v>
      </c>
      <c r="I14" s="13">
        <f>COUNTIFS(Requerimientos!$C$6:$C$50,$A14,Requerimientos!$L$6:$L$50,"No")</f>
        <v>4</v>
      </c>
    </row>
    <row r="15" spans="1:9" x14ac:dyDescent="0.25">
      <c r="A15" s="9" t="s">
        <v>95</v>
      </c>
      <c r="B15" s="10">
        <f>COUNTIF(Requerimientos!$C$6:$C$50,$A15)</f>
        <v>13</v>
      </c>
      <c r="C15" s="10">
        <f>COUNTIFS(Requerimientos!$C$6:$C$50,$A15,Requerimientos!$G$6:$G$50,"Alta")</f>
        <v>12</v>
      </c>
      <c r="D15" s="10">
        <f>COUNTIFS(Requerimientos!$C$6:$C$50,$A15,Requerimientos!$G$6:$G$50,"Media")</f>
        <v>1</v>
      </c>
      <c r="E15" s="10">
        <f>COUNTIFS(Requerimientos!$C$6:$C$50,$A15,Requerimientos!$K$6:$K$50,"Pendiente")</f>
        <v>13</v>
      </c>
      <c r="F15" s="10">
        <f>COUNTIFS(Requerimientos!$C$6:$C$50,$A15,Requerimientos!$K$6:$K$50,"En progreso")</f>
        <v>0</v>
      </c>
      <c r="G15" s="10">
        <f>COUNTIFS(Requerimientos!$C$6:$C$50,$A15,Requerimientos!$K$6:$K$50,"Hecho")</f>
        <v>0</v>
      </c>
      <c r="H15" s="11">
        <f t="shared" si="0"/>
        <v>0</v>
      </c>
      <c r="I15" s="10">
        <f>COUNTIFS(Requerimientos!$C$6:$C$50,$A15,Requerimientos!$L$6:$L$50,"No")</f>
        <v>0</v>
      </c>
    </row>
    <row r="16" spans="1:9" x14ac:dyDescent="0.25">
      <c r="A16" s="15" t="s">
        <v>84</v>
      </c>
      <c r="B16" s="16">
        <f t="shared" ref="B16:G16" si="1">SUM(B11:B15)</f>
        <v>45</v>
      </c>
      <c r="C16" s="16">
        <f t="shared" si="1"/>
        <v>37</v>
      </c>
      <c r="D16" s="16">
        <f t="shared" si="1"/>
        <v>8</v>
      </c>
      <c r="E16" s="16">
        <f t="shared" si="1"/>
        <v>45</v>
      </c>
      <c r="F16" s="16">
        <f t="shared" si="1"/>
        <v>0</v>
      </c>
      <c r="G16" s="16">
        <f t="shared" si="1"/>
        <v>0</v>
      </c>
      <c r="H16" s="17">
        <f t="shared" si="0"/>
        <v>0</v>
      </c>
      <c r="I16" s="16">
        <f>SUM(I11:I15)</f>
        <v>17</v>
      </c>
    </row>
    <row r="18" spans="1:9" ht="21.95" customHeight="1" x14ac:dyDescent="0.25">
      <c r="A18" s="28" t="s">
        <v>96</v>
      </c>
      <c r="B18" s="29"/>
      <c r="C18" s="29"/>
      <c r="D18" s="29"/>
      <c r="E18" s="29"/>
      <c r="F18" s="29"/>
      <c r="G18" s="29"/>
      <c r="H18" s="29"/>
      <c r="I18" s="29"/>
    </row>
    <row r="19" spans="1:9" ht="30" customHeight="1" x14ac:dyDescent="0.25">
      <c r="A19" s="1" t="s">
        <v>44</v>
      </c>
      <c r="B19" s="1" t="s">
        <v>97</v>
      </c>
      <c r="C19" s="1" t="s">
        <v>98</v>
      </c>
      <c r="D19" s="1" t="s">
        <v>84</v>
      </c>
      <c r="E19" s="1" t="s">
        <v>85</v>
      </c>
      <c r="F19" s="1" t="s">
        <v>87</v>
      </c>
      <c r="G19" s="1" t="s">
        <v>88</v>
      </c>
      <c r="H19" s="1" t="s">
        <v>89</v>
      </c>
      <c r="I19" s="1" t="s">
        <v>90</v>
      </c>
    </row>
    <row r="20" spans="1:9" x14ac:dyDescent="0.25">
      <c r="A20" s="12" t="s">
        <v>99</v>
      </c>
      <c r="B20" s="18">
        <v>46280</v>
      </c>
      <c r="C20" s="13">
        <f ca="1">$B20-TODAY()</f>
        <v>23</v>
      </c>
      <c r="D20" s="13">
        <f>COUNTIF(Requerimientos!$H$6:$H$50,$A20)</f>
        <v>1</v>
      </c>
      <c r="E20" s="13">
        <f>COUNTIFS(Requerimientos!$H$6:$H$50,$A20,Requerimientos!$G$6:$G$50,"Alta")</f>
        <v>1</v>
      </c>
      <c r="F20" s="13">
        <f>COUNTIFS(Requerimientos!$H$6:$H$50,$A20,Requerimientos!$K$6:$K$50,"Pendiente")</f>
        <v>1</v>
      </c>
      <c r="G20" s="13">
        <f>COUNTIFS(Requerimientos!$H$6:$H$50,$A20,Requerimientos!$K$6:$K$50,"Hecho")</f>
        <v>0</v>
      </c>
      <c r="H20" s="14">
        <f t="shared" ref="H20:H25" si="2">IFERROR($G20/$D20,0)</f>
        <v>0</v>
      </c>
      <c r="I20" s="13">
        <f>COUNTIFS(Requerimientos!$H$6:$H$50,$A20,Requerimientos!$L$6:$L$50,"No")</f>
        <v>0</v>
      </c>
    </row>
    <row r="21" spans="1:9" x14ac:dyDescent="0.25">
      <c r="A21" s="9" t="s">
        <v>100</v>
      </c>
      <c r="B21" s="19">
        <v>46294</v>
      </c>
      <c r="C21" s="10">
        <f ca="1">$B21-TODAY()</f>
        <v>37</v>
      </c>
      <c r="D21" s="10">
        <f>COUNTIF(Requerimientos!$H$6:$H$50,$A21)</f>
        <v>4</v>
      </c>
      <c r="E21" s="10">
        <f>COUNTIFS(Requerimientos!$H$6:$H$50,$A21,Requerimientos!$G$6:$G$50,"Alta")</f>
        <v>3</v>
      </c>
      <c r="F21" s="10">
        <f>COUNTIFS(Requerimientos!$H$6:$H$50,$A21,Requerimientos!$K$6:$K$50,"Pendiente")</f>
        <v>4</v>
      </c>
      <c r="G21" s="10">
        <f>COUNTIFS(Requerimientos!$H$6:$H$50,$A21,Requerimientos!$K$6:$K$50,"Hecho")</f>
        <v>0</v>
      </c>
      <c r="H21" s="11">
        <f t="shared" si="2"/>
        <v>0</v>
      </c>
      <c r="I21" s="10">
        <f>COUNTIFS(Requerimientos!$H$6:$H$50,$A21,Requerimientos!$L$6:$L$50,"No")</f>
        <v>0</v>
      </c>
    </row>
    <row r="22" spans="1:9" x14ac:dyDescent="0.25">
      <c r="A22" s="12" t="s">
        <v>101</v>
      </c>
      <c r="B22" s="18">
        <v>46315</v>
      </c>
      <c r="C22" s="13">
        <f ca="1">$B22-TODAY()</f>
        <v>58</v>
      </c>
      <c r="D22" s="13">
        <f>COUNTIF(Requerimientos!$H$6:$H$50,$A22)</f>
        <v>3</v>
      </c>
      <c r="E22" s="13">
        <f>COUNTIFS(Requerimientos!$H$6:$H$50,$A22,Requerimientos!$G$6:$G$50,"Alta")</f>
        <v>3</v>
      </c>
      <c r="F22" s="13">
        <f>COUNTIFS(Requerimientos!$H$6:$H$50,$A22,Requerimientos!$K$6:$K$50,"Pendiente")</f>
        <v>3</v>
      </c>
      <c r="G22" s="13">
        <f>COUNTIFS(Requerimientos!$H$6:$H$50,$A22,Requerimientos!$K$6:$K$50,"Hecho")</f>
        <v>0</v>
      </c>
      <c r="H22" s="14">
        <f t="shared" si="2"/>
        <v>0</v>
      </c>
      <c r="I22" s="13">
        <f>COUNTIFS(Requerimientos!$H$6:$H$50,$A22,Requerimientos!$L$6:$L$50,"No")</f>
        <v>0</v>
      </c>
    </row>
    <row r="23" spans="1:9" x14ac:dyDescent="0.25">
      <c r="A23" s="9" t="s">
        <v>102</v>
      </c>
      <c r="B23" s="19">
        <v>46329</v>
      </c>
      <c r="C23" s="10">
        <f ca="1">$B23-TODAY()</f>
        <v>72</v>
      </c>
      <c r="D23" s="10">
        <f>COUNTIF(Requerimientos!$H$6:$H$50,$A23)</f>
        <v>19</v>
      </c>
      <c r="E23" s="10">
        <f>COUNTIFS(Requerimientos!$H$6:$H$50,$A23,Requerimientos!$G$6:$G$50,"Alta")</f>
        <v>17</v>
      </c>
      <c r="F23" s="10">
        <f>COUNTIFS(Requerimientos!$H$6:$H$50,$A23,Requerimientos!$K$6:$K$50,"Pendiente")</f>
        <v>19</v>
      </c>
      <c r="G23" s="10">
        <f>COUNTIFS(Requerimientos!$H$6:$H$50,$A23,Requerimientos!$K$6:$K$50,"Hecho")</f>
        <v>0</v>
      </c>
      <c r="H23" s="11">
        <f t="shared" si="2"/>
        <v>0</v>
      </c>
      <c r="I23" s="10">
        <f>COUNTIFS(Requerimientos!$H$6:$H$50,$A23,Requerimientos!$L$6:$L$50,"No")</f>
        <v>4</v>
      </c>
    </row>
    <row r="24" spans="1:9" x14ac:dyDescent="0.25">
      <c r="A24" s="12" t="s">
        <v>103</v>
      </c>
      <c r="B24" s="18">
        <v>46370</v>
      </c>
      <c r="C24" s="13">
        <f ca="1">$B24-TODAY()</f>
        <v>113</v>
      </c>
      <c r="D24" s="13">
        <f>COUNTIF(Requerimientos!$H$6:$H$50,$A24)</f>
        <v>16</v>
      </c>
      <c r="E24" s="13">
        <f>COUNTIFS(Requerimientos!$H$6:$H$50,$A24,Requerimientos!$G$6:$G$50,"Alta")</f>
        <v>11</v>
      </c>
      <c r="F24" s="13">
        <f>COUNTIFS(Requerimientos!$H$6:$H$50,$A24,Requerimientos!$K$6:$K$50,"Pendiente")</f>
        <v>16</v>
      </c>
      <c r="G24" s="13">
        <f>COUNTIFS(Requerimientos!$H$6:$H$50,$A24,Requerimientos!$K$6:$K$50,"Hecho")</f>
        <v>0</v>
      </c>
      <c r="H24" s="14">
        <f t="shared" si="2"/>
        <v>0</v>
      </c>
      <c r="I24" s="13">
        <f>COUNTIFS(Requerimientos!$H$6:$H$50,$A24,Requerimientos!$L$6:$L$50,"No")</f>
        <v>11</v>
      </c>
    </row>
    <row r="25" spans="1:9" x14ac:dyDescent="0.25">
      <c r="A25" s="9" t="s">
        <v>104</v>
      </c>
      <c r="B25" s="10" t="s">
        <v>105</v>
      </c>
      <c r="C25" s="10" t="s">
        <v>106</v>
      </c>
      <c r="D25" s="10">
        <f>COUNTIF(Requerimientos!$H$6:$H$50,$A25)</f>
        <v>2</v>
      </c>
      <c r="E25" s="10">
        <f>COUNTIFS(Requerimientos!$H$6:$H$50,$A25,Requerimientos!$G$6:$G$50,"Alta")</f>
        <v>2</v>
      </c>
      <c r="F25" s="10">
        <f>COUNTIFS(Requerimientos!$H$6:$H$50,$A25,Requerimientos!$K$6:$K$50,"Pendiente")</f>
        <v>2</v>
      </c>
      <c r="G25" s="10">
        <f>COUNTIFS(Requerimientos!$H$6:$H$50,$A25,Requerimientos!$K$6:$K$50,"Hecho")</f>
        <v>0</v>
      </c>
      <c r="H25" s="11">
        <f t="shared" si="2"/>
        <v>0</v>
      </c>
      <c r="I25" s="10">
        <f>COUNTIFS(Requerimientos!$H$6:$H$50,$A25,Requerimientos!$L$6:$L$50,"No")</f>
        <v>2</v>
      </c>
    </row>
    <row r="27" spans="1:9" ht="21.95" customHeight="1" x14ac:dyDescent="0.25">
      <c r="A27" s="28" t="s">
        <v>107</v>
      </c>
      <c r="B27" s="29"/>
      <c r="C27" s="29"/>
      <c r="D27" s="29"/>
      <c r="E27" s="29"/>
      <c r="F27" s="29"/>
      <c r="G27" s="29"/>
      <c r="H27" s="29"/>
      <c r="I27" s="29"/>
    </row>
    <row r="28" spans="1:9" ht="30" customHeight="1" x14ac:dyDescent="0.25">
      <c r="A28" s="1" t="s">
        <v>27</v>
      </c>
      <c r="B28" s="1" t="s">
        <v>84</v>
      </c>
      <c r="C28" s="1" t="s">
        <v>85</v>
      </c>
      <c r="D28" s="1" t="s">
        <v>87</v>
      </c>
      <c r="E28" s="1" t="s">
        <v>88</v>
      </c>
      <c r="F28" s="1" t="s">
        <v>89</v>
      </c>
      <c r="G28" s="1"/>
      <c r="H28" s="1"/>
      <c r="I28" s="1"/>
    </row>
    <row r="29" spans="1:9" x14ac:dyDescent="0.25">
      <c r="A29" s="20" t="s">
        <v>108</v>
      </c>
      <c r="B29" s="10">
        <f>COUNTIF(Requerimientos!$B$6:$B$50,$A29)</f>
        <v>4</v>
      </c>
      <c r="C29" s="10">
        <f>COUNTIFS(Requerimientos!$B$6:$B$50,$A29,Requerimientos!$G$6:$G$50,"Alta")</f>
        <v>4</v>
      </c>
      <c r="D29" s="10">
        <f>COUNTIFS(Requerimientos!$B$6:$B$50,$A29,Requerimientos!$K$6:$K$50,"Pendiente")</f>
        <v>4</v>
      </c>
      <c r="E29" s="10">
        <f>COUNTIFS(Requerimientos!$B$6:$B$50,$A29,Requerimientos!$K$6:$K$50,"Hecho")</f>
        <v>0</v>
      </c>
      <c r="F29" s="11">
        <f t="shared" ref="F29:F38" si="3">IFERROR($E29/$B29,0)</f>
        <v>0</v>
      </c>
    </row>
    <row r="30" spans="1:9" x14ac:dyDescent="0.25">
      <c r="A30" s="21" t="s">
        <v>109</v>
      </c>
      <c r="B30" s="13">
        <f>COUNTIF(Requerimientos!$B$6:$B$50,$A30)</f>
        <v>3</v>
      </c>
      <c r="C30" s="13">
        <f>COUNTIFS(Requerimientos!$B$6:$B$50,$A30,Requerimientos!$G$6:$G$50,"Alta")</f>
        <v>3</v>
      </c>
      <c r="D30" s="13">
        <f>COUNTIFS(Requerimientos!$B$6:$B$50,$A30,Requerimientos!$K$6:$K$50,"Pendiente")</f>
        <v>3</v>
      </c>
      <c r="E30" s="13">
        <f>COUNTIFS(Requerimientos!$B$6:$B$50,$A30,Requerimientos!$K$6:$K$50,"Hecho")</f>
        <v>0</v>
      </c>
      <c r="F30" s="14">
        <f t="shared" si="3"/>
        <v>0</v>
      </c>
    </row>
    <row r="31" spans="1:9" x14ac:dyDescent="0.25">
      <c r="A31" s="20" t="s">
        <v>110</v>
      </c>
      <c r="B31" s="10">
        <f>COUNTIF(Requerimientos!$B$6:$B$50,$A31)</f>
        <v>5</v>
      </c>
      <c r="C31" s="10">
        <f>COUNTIFS(Requerimientos!$B$6:$B$50,$A31,Requerimientos!$G$6:$G$50,"Alta")</f>
        <v>5</v>
      </c>
      <c r="D31" s="10">
        <f>COUNTIFS(Requerimientos!$B$6:$B$50,$A31,Requerimientos!$K$6:$K$50,"Pendiente")</f>
        <v>5</v>
      </c>
      <c r="E31" s="10">
        <f>COUNTIFS(Requerimientos!$B$6:$B$50,$A31,Requerimientos!$K$6:$K$50,"Hecho")</f>
        <v>0</v>
      </c>
      <c r="F31" s="11">
        <f t="shared" si="3"/>
        <v>0</v>
      </c>
    </row>
    <row r="32" spans="1:9" x14ac:dyDescent="0.25">
      <c r="A32" s="21" t="s">
        <v>111</v>
      </c>
      <c r="B32" s="13">
        <f>COUNTIF(Requerimientos!$B$6:$B$50,$A32)</f>
        <v>4</v>
      </c>
      <c r="C32" s="13">
        <f>COUNTIFS(Requerimientos!$B$6:$B$50,$A32,Requerimientos!$G$6:$G$50,"Alta")</f>
        <v>3</v>
      </c>
      <c r="D32" s="13">
        <f>COUNTIFS(Requerimientos!$B$6:$B$50,$A32,Requerimientos!$K$6:$K$50,"Pendiente")</f>
        <v>4</v>
      </c>
      <c r="E32" s="13">
        <f>COUNTIFS(Requerimientos!$B$6:$B$50,$A32,Requerimientos!$K$6:$K$50,"Hecho")</f>
        <v>0</v>
      </c>
      <c r="F32" s="14">
        <f t="shared" si="3"/>
        <v>0</v>
      </c>
    </row>
    <row r="33" spans="1:6" x14ac:dyDescent="0.25">
      <c r="A33" s="20" t="s">
        <v>112</v>
      </c>
      <c r="B33" s="10">
        <f>COUNTIF(Requerimientos!$B$6:$B$50,$A33)</f>
        <v>3</v>
      </c>
      <c r="C33" s="10">
        <f>COUNTIFS(Requerimientos!$B$6:$B$50,$A33,Requerimientos!$G$6:$G$50,"Alta")</f>
        <v>2</v>
      </c>
      <c r="D33" s="10">
        <f>COUNTIFS(Requerimientos!$B$6:$B$50,$A33,Requerimientos!$K$6:$K$50,"Pendiente")</f>
        <v>3</v>
      </c>
      <c r="E33" s="10">
        <f>COUNTIFS(Requerimientos!$B$6:$B$50,$A33,Requerimientos!$K$6:$K$50,"Hecho")</f>
        <v>0</v>
      </c>
      <c r="F33" s="11">
        <f t="shared" si="3"/>
        <v>0</v>
      </c>
    </row>
    <row r="34" spans="1:6" x14ac:dyDescent="0.25">
      <c r="A34" s="21" t="s">
        <v>113</v>
      </c>
      <c r="B34" s="13">
        <f>COUNTIF(Requerimientos!$B$6:$B$50,$A34)</f>
        <v>1</v>
      </c>
      <c r="C34" s="13">
        <f>COUNTIFS(Requerimientos!$B$6:$B$50,$A34,Requerimientos!$G$6:$G$50,"Alta")</f>
        <v>1</v>
      </c>
      <c r="D34" s="13">
        <f>COUNTIFS(Requerimientos!$B$6:$B$50,$A34,Requerimientos!$K$6:$K$50,"Pendiente")</f>
        <v>1</v>
      </c>
      <c r="E34" s="13">
        <f>COUNTIFS(Requerimientos!$B$6:$B$50,$A34,Requerimientos!$K$6:$K$50,"Hecho")</f>
        <v>0</v>
      </c>
      <c r="F34" s="14">
        <f t="shared" si="3"/>
        <v>0</v>
      </c>
    </row>
    <row r="35" spans="1:6" x14ac:dyDescent="0.25">
      <c r="A35" s="20" t="s">
        <v>114</v>
      </c>
      <c r="B35" s="10">
        <f>COUNTIF(Requerimientos!$B$6:$B$50,$A35)</f>
        <v>3</v>
      </c>
      <c r="C35" s="10">
        <f>COUNTIFS(Requerimientos!$B$6:$B$50,$A35,Requerimientos!$G$6:$G$50,"Alta")</f>
        <v>3</v>
      </c>
      <c r="D35" s="10">
        <f>COUNTIFS(Requerimientos!$B$6:$B$50,$A35,Requerimientos!$K$6:$K$50,"Pendiente")</f>
        <v>3</v>
      </c>
      <c r="E35" s="10">
        <f>COUNTIFS(Requerimientos!$B$6:$B$50,$A35,Requerimientos!$K$6:$K$50,"Hecho")</f>
        <v>0</v>
      </c>
      <c r="F35" s="11">
        <f t="shared" si="3"/>
        <v>0</v>
      </c>
    </row>
    <row r="36" spans="1:6" x14ac:dyDescent="0.25">
      <c r="A36" s="21" t="s">
        <v>115</v>
      </c>
      <c r="B36" s="13">
        <f>COUNTIF(Requerimientos!$B$6:$B$50,$A36)</f>
        <v>10</v>
      </c>
      <c r="C36" s="13">
        <f>COUNTIFS(Requerimientos!$B$6:$B$50,$A36,Requerimientos!$G$6:$G$50,"Alta")</f>
        <v>8</v>
      </c>
      <c r="D36" s="13">
        <f>COUNTIFS(Requerimientos!$B$6:$B$50,$A36,Requerimientos!$K$6:$K$50,"Pendiente")</f>
        <v>10</v>
      </c>
      <c r="E36" s="13">
        <f>COUNTIFS(Requerimientos!$B$6:$B$50,$A36,Requerimientos!$K$6:$K$50,"Hecho")</f>
        <v>0</v>
      </c>
      <c r="F36" s="14">
        <f t="shared" si="3"/>
        <v>0</v>
      </c>
    </row>
    <row r="37" spans="1:6" x14ac:dyDescent="0.25">
      <c r="A37" s="20" t="s">
        <v>116</v>
      </c>
      <c r="B37" s="10">
        <f>COUNTIF(Requerimientos!$B$6:$B$50,$A37)</f>
        <v>3</v>
      </c>
      <c r="C37" s="10">
        <f>COUNTIFS(Requerimientos!$B$6:$B$50,$A37,Requerimientos!$G$6:$G$50,"Alta")</f>
        <v>0</v>
      </c>
      <c r="D37" s="10">
        <f>COUNTIFS(Requerimientos!$B$6:$B$50,$A37,Requerimientos!$K$6:$K$50,"Pendiente")</f>
        <v>3</v>
      </c>
      <c r="E37" s="10">
        <f>COUNTIFS(Requerimientos!$B$6:$B$50,$A37,Requerimientos!$K$6:$K$50,"Hecho")</f>
        <v>0</v>
      </c>
      <c r="F37" s="11">
        <f t="shared" si="3"/>
        <v>0</v>
      </c>
    </row>
    <row r="38" spans="1:6" x14ac:dyDescent="0.25">
      <c r="A38" s="21" t="s">
        <v>117</v>
      </c>
      <c r="B38" s="13">
        <f>COUNTIF(Requerimientos!$B$6:$B$50,$A38)</f>
        <v>9</v>
      </c>
      <c r="C38" s="13">
        <f>COUNTIFS(Requerimientos!$B$6:$B$50,$A38,Requerimientos!$G$6:$G$50,"Alta")</f>
        <v>8</v>
      </c>
      <c r="D38" s="13">
        <f>COUNTIFS(Requerimientos!$B$6:$B$50,$A38,Requerimientos!$K$6:$K$50,"Pendiente")</f>
        <v>9</v>
      </c>
      <c r="E38" s="13">
        <f>COUNTIFS(Requerimientos!$B$6:$B$50,$A38,Requerimientos!$K$6:$K$50,"Hecho")</f>
        <v>0</v>
      </c>
      <c r="F38" s="14">
        <f t="shared" si="3"/>
        <v>0</v>
      </c>
    </row>
  </sheetData>
  <mergeCells count="7">
    <mergeCell ref="A27:I27"/>
    <mergeCell ref="A3:I3"/>
    <mergeCell ref="A2:I2"/>
    <mergeCell ref="A5:I5"/>
    <mergeCell ref="A1:I1"/>
    <mergeCell ref="A9:I9"/>
    <mergeCell ref="A18:I18"/>
  </mergeCells>
  <conditionalFormatting sqref="H11:H15">
    <cfRule type="dataBar" priority="1">
      <dataBar>
        <cfvo type="num" val="0"/>
        <cfvo type="num" val="1"/>
        <color rgb="FF4DB6AC"/>
      </dataBar>
    </cfRule>
  </conditionalFormatting>
  <conditionalFormatting sqref="H20:H25">
    <cfRule type="dataBar" priority="2">
      <dataBar>
        <cfvo type="num" val="0"/>
        <cfvo type="num" val="1"/>
        <color rgb="FF4DB6AC"/>
      </dataBar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0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1" customWidth="1"/>
    <col min="2" max="2" width="22" customWidth="1"/>
    <col min="3" max="3" width="21" customWidth="1"/>
    <col min="4" max="4" width="12" customWidth="1"/>
    <col min="5" max="5" width="52" customWidth="1"/>
    <col min="6" max="6" width="58" customWidth="1"/>
    <col min="7" max="7" width="10" customWidth="1"/>
    <col min="8" max="8" width="11" customWidth="1"/>
    <col min="9" max="9" width="21" customWidth="1"/>
    <col min="10" max="10" width="11" customWidth="1"/>
    <col min="11" max="11" width="13" customWidth="1"/>
    <col min="12" max="12" width="10" customWidth="1"/>
    <col min="13" max="13" width="16" customWidth="1"/>
    <col min="14" max="14" width="46" customWidth="1"/>
  </cols>
  <sheetData>
    <row r="1" spans="1:14" ht="33.950000000000003" customHeight="1" x14ac:dyDescent="0.25">
      <c r="A1" s="26" t="s">
        <v>118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8" customHeight="1" x14ac:dyDescent="0.25">
      <c r="A2" s="32" t="s">
        <v>119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15.95" customHeight="1" x14ac:dyDescent="0.25">
      <c r="A3" s="34" t="s">
        <v>120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5" spans="1:14" ht="30" customHeight="1" x14ac:dyDescent="0.25">
      <c r="A5" s="1" t="s">
        <v>24</v>
      </c>
      <c r="B5" s="1" t="s">
        <v>27</v>
      </c>
      <c r="C5" s="1" t="s">
        <v>30</v>
      </c>
      <c r="D5" s="1" t="s">
        <v>33</v>
      </c>
      <c r="E5" s="1" t="s">
        <v>36</v>
      </c>
      <c r="F5" s="1" t="s">
        <v>39</v>
      </c>
      <c r="G5" s="1" t="s">
        <v>41</v>
      </c>
      <c r="H5" s="1" t="s">
        <v>44</v>
      </c>
      <c r="I5" s="1" t="s">
        <v>47</v>
      </c>
      <c r="J5" s="1" t="s">
        <v>50</v>
      </c>
      <c r="K5" s="1" t="s">
        <v>53</v>
      </c>
      <c r="L5" s="1" t="s">
        <v>56</v>
      </c>
      <c r="M5" s="1" t="s">
        <v>59</v>
      </c>
      <c r="N5" s="1" t="s">
        <v>62</v>
      </c>
    </row>
    <row r="6" spans="1:14" ht="42" customHeight="1" x14ac:dyDescent="0.25">
      <c r="A6" s="22" t="s">
        <v>121</v>
      </c>
      <c r="B6" s="23" t="s">
        <v>109</v>
      </c>
      <c r="C6" s="24" t="s">
        <v>91</v>
      </c>
      <c r="D6" s="24" t="s">
        <v>122</v>
      </c>
      <c r="E6" s="23" t="s">
        <v>123</v>
      </c>
      <c r="F6" s="23" t="s">
        <v>124</v>
      </c>
      <c r="G6" s="24" t="s">
        <v>85</v>
      </c>
      <c r="H6" s="24" t="s">
        <v>102</v>
      </c>
      <c r="I6" s="23" t="s">
        <v>125</v>
      </c>
      <c r="J6" s="24"/>
      <c r="K6" s="24" t="s">
        <v>87</v>
      </c>
      <c r="L6" s="24" t="s">
        <v>126</v>
      </c>
      <c r="M6" s="23"/>
      <c r="N6" s="23"/>
    </row>
    <row r="7" spans="1:14" ht="42" customHeight="1" x14ac:dyDescent="0.25">
      <c r="A7" s="22" t="s">
        <v>127</v>
      </c>
      <c r="B7" s="23" t="s">
        <v>109</v>
      </c>
      <c r="C7" s="24" t="s">
        <v>91</v>
      </c>
      <c r="D7" s="24" t="s">
        <v>122</v>
      </c>
      <c r="E7" s="23" t="s">
        <v>128</v>
      </c>
      <c r="F7" s="23" t="s">
        <v>129</v>
      </c>
      <c r="G7" s="24" t="s">
        <v>85</v>
      </c>
      <c r="H7" s="24" t="s">
        <v>102</v>
      </c>
      <c r="I7" s="23" t="s">
        <v>130</v>
      </c>
      <c r="J7" s="24"/>
      <c r="K7" s="24" t="s">
        <v>87</v>
      </c>
      <c r="L7" s="24" t="s">
        <v>126</v>
      </c>
      <c r="M7" s="23"/>
      <c r="N7" s="23"/>
    </row>
    <row r="8" spans="1:14" ht="42" customHeight="1" x14ac:dyDescent="0.25">
      <c r="A8" s="22" t="s">
        <v>131</v>
      </c>
      <c r="B8" s="23" t="s">
        <v>116</v>
      </c>
      <c r="C8" s="24" t="s">
        <v>91</v>
      </c>
      <c r="D8" s="24" t="s">
        <v>122</v>
      </c>
      <c r="E8" s="23" t="s">
        <v>132</v>
      </c>
      <c r="F8" s="23" t="s">
        <v>133</v>
      </c>
      <c r="G8" s="24" t="s">
        <v>86</v>
      </c>
      <c r="H8" s="24" t="s">
        <v>103</v>
      </c>
      <c r="I8" s="23" t="s">
        <v>134</v>
      </c>
      <c r="J8" s="24" t="s">
        <v>135</v>
      </c>
      <c r="K8" s="24" t="s">
        <v>87</v>
      </c>
      <c r="L8" s="24" t="s">
        <v>126</v>
      </c>
      <c r="M8" s="23"/>
      <c r="N8" s="23"/>
    </row>
    <row r="9" spans="1:14" ht="42" customHeight="1" x14ac:dyDescent="0.25">
      <c r="A9" s="22" t="s">
        <v>136</v>
      </c>
      <c r="B9" s="23" t="s">
        <v>116</v>
      </c>
      <c r="C9" s="24" t="s">
        <v>91</v>
      </c>
      <c r="D9" s="24" t="s">
        <v>122</v>
      </c>
      <c r="E9" s="23" t="s">
        <v>137</v>
      </c>
      <c r="F9" s="23" t="s">
        <v>138</v>
      </c>
      <c r="G9" s="24" t="s">
        <v>86</v>
      </c>
      <c r="H9" s="24" t="s">
        <v>103</v>
      </c>
      <c r="I9" s="23" t="s">
        <v>134</v>
      </c>
      <c r="J9" s="24" t="s">
        <v>139</v>
      </c>
      <c r="K9" s="24" t="s">
        <v>87</v>
      </c>
      <c r="L9" s="24" t="s">
        <v>126</v>
      </c>
      <c r="M9" s="23"/>
      <c r="N9" s="23"/>
    </row>
    <row r="10" spans="1:14" ht="42" customHeight="1" x14ac:dyDescent="0.25">
      <c r="A10" s="22" t="s">
        <v>140</v>
      </c>
      <c r="B10" s="23" t="s">
        <v>109</v>
      </c>
      <c r="C10" s="24" t="s">
        <v>91</v>
      </c>
      <c r="D10" s="24" t="s">
        <v>122</v>
      </c>
      <c r="E10" s="23" t="s">
        <v>141</v>
      </c>
      <c r="F10" s="23" t="s">
        <v>142</v>
      </c>
      <c r="G10" s="24" t="s">
        <v>85</v>
      </c>
      <c r="H10" s="24" t="s">
        <v>104</v>
      </c>
      <c r="I10" s="23" t="s">
        <v>143</v>
      </c>
      <c r="J10" s="24" t="s">
        <v>144</v>
      </c>
      <c r="K10" s="24" t="s">
        <v>87</v>
      </c>
      <c r="L10" s="24" t="s">
        <v>126</v>
      </c>
      <c r="M10" s="23"/>
      <c r="N10" s="23"/>
    </row>
    <row r="11" spans="1:14" ht="42" customHeight="1" x14ac:dyDescent="0.25">
      <c r="A11" s="22" t="s">
        <v>145</v>
      </c>
      <c r="B11" s="23" t="s">
        <v>110</v>
      </c>
      <c r="C11" s="24" t="s">
        <v>92</v>
      </c>
      <c r="D11" s="24" t="s">
        <v>122</v>
      </c>
      <c r="E11" s="23" t="s">
        <v>146</v>
      </c>
      <c r="F11" s="23" t="s">
        <v>147</v>
      </c>
      <c r="G11" s="24" t="s">
        <v>85</v>
      </c>
      <c r="H11" s="24" t="s">
        <v>100</v>
      </c>
      <c r="I11" s="23" t="s">
        <v>148</v>
      </c>
      <c r="J11" s="24" t="s">
        <v>127</v>
      </c>
      <c r="K11" s="24" t="s">
        <v>87</v>
      </c>
      <c r="L11" s="24" t="s">
        <v>149</v>
      </c>
      <c r="M11" s="23"/>
      <c r="N11" s="23"/>
    </row>
    <row r="12" spans="1:14" ht="42" customHeight="1" x14ac:dyDescent="0.25">
      <c r="A12" s="22" t="s">
        <v>150</v>
      </c>
      <c r="B12" s="23" t="s">
        <v>110</v>
      </c>
      <c r="C12" s="24" t="s">
        <v>92</v>
      </c>
      <c r="D12" s="24" t="s">
        <v>122</v>
      </c>
      <c r="E12" s="23" t="s">
        <v>151</v>
      </c>
      <c r="F12" s="23" t="s">
        <v>152</v>
      </c>
      <c r="G12" s="24" t="s">
        <v>85</v>
      </c>
      <c r="H12" s="24" t="s">
        <v>100</v>
      </c>
      <c r="I12" s="23" t="s">
        <v>148</v>
      </c>
      <c r="J12" s="24" t="s">
        <v>127</v>
      </c>
      <c r="K12" s="24" t="s">
        <v>87</v>
      </c>
      <c r="L12" s="24" t="s">
        <v>149</v>
      </c>
      <c r="M12" s="23"/>
      <c r="N12" s="23"/>
    </row>
    <row r="13" spans="1:14" ht="42" customHeight="1" x14ac:dyDescent="0.25">
      <c r="A13" s="22" t="s">
        <v>153</v>
      </c>
      <c r="B13" s="23" t="s">
        <v>110</v>
      </c>
      <c r="C13" s="24" t="s">
        <v>92</v>
      </c>
      <c r="D13" s="24" t="s">
        <v>122</v>
      </c>
      <c r="E13" s="23" t="s">
        <v>154</v>
      </c>
      <c r="F13" s="23" t="s">
        <v>155</v>
      </c>
      <c r="G13" s="24" t="s">
        <v>85</v>
      </c>
      <c r="H13" s="24" t="s">
        <v>101</v>
      </c>
      <c r="I13" s="23" t="s">
        <v>156</v>
      </c>
      <c r="J13" s="24" t="s">
        <v>127</v>
      </c>
      <c r="K13" s="24" t="s">
        <v>87</v>
      </c>
      <c r="L13" s="24" t="s">
        <v>149</v>
      </c>
      <c r="M13" s="23"/>
      <c r="N13" s="23"/>
    </row>
    <row r="14" spans="1:14" ht="42" customHeight="1" x14ac:dyDescent="0.25">
      <c r="A14" s="22" t="s">
        <v>157</v>
      </c>
      <c r="B14" s="23" t="s">
        <v>112</v>
      </c>
      <c r="C14" s="24" t="s">
        <v>92</v>
      </c>
      <c r="D14" s="24" t="s">
        <v>122</v>
      </c>
      <c r="E14" s="23" t="s">
        <v>158</v>
      </c>
      <c r="F14" s="23" t="s">
        <v>159</v>
      </c>
      <c r="G14" s="24" t="s">
        <v>85</v>
      </c>
      <c r="H14" s="24" t="s">
        <v>101</v>
      </c>
      <c r="I14" s="23" t="s">
        <v>160</v>
      </c>
      <c r="J14" s="24" t="s">
        <v>161</v>
      </c>
      <c r="K14" s="24" t="s">
        <v>87</v>
      </c>
      <c r="L14" s="24" t="s">
        <v>149</v>
      </c>
      <c r="M14" s="23"/>
      <c r="N14" s="23"/>
    </row>
    <row r="15" spans="1:14" ht="42" customHeight="1" x14ac:dyDescent="0.25">
      <c r="A15" s="22" t="s">
        <v>162</v>
      </c>
      <c r="B15" s="23" t="s">
        <v>110</v>
      </c>
      <c r="C15" s="24" t="s">
        <v>92</v>
      </c>
      <c r="D15" s="24" t="s">
        <v>122</v>
      </c>
      <c r="E15" s="23" t="s">
        <v>163</v>
      </c>
      <c r="F15" s="23" t="s">
        <v>164</v>
      </c>
      <c r="G15" s="24" t="s">
        <v>85</v>
      </c>
      <c r="H15" s="24" t="s">
        <v>102</v>
      </c>
      <c r="I15" s="23" t="s">
        <v>130</v>
      </c>
      <c r="J15" s="24" t="s">
        <v>127</v>
      </c>
      <c r="K15" s="24" t="s">
        <v>87</v>
      </c>
      <c r="L15" s="24" t="s">
        <v>126</v>
      </c>
      <c r="M15" s="23"/>
      <c r="N15" s="23" t="s">
        <v>165</v>
      </c>
    </row>
    <row r="16" spans="1:14" ht="42" customHeight="1" x14ac:dyDescent="0.25">
      <c r="A16" s="22" t="s">
        <v>166</v>
      </c>
      <c r="B16" s="23" t="s">
        <v>114</v>
      </c>
      <c r="C16" s="24" t="s">
        <v>92</v>
      </c>
      <c r="D16" s="24" t="s">
        <v>122</v>
      </c>
      <c r="E16" s="23" t="s">
        <v>167</v>
      </c>
      <c r="F16" s="23" t="s">
        <v>168</v>
      </c>
      <c r="G16" s="24" t="s">
        <v>85</v>
      </c>
      <c r="H16" s="24" t="s">
        <v>102</v>
      </c>
      <c r="I16" s="23" t="s">
        <v>130</v>
      </c>
      <c r="J16" s="24" t="s">
        <v>169</v>
      </c>
      <c r="K16" s="24" t="s">
        <v>87</v>
      </c>
      <c r="L16" s="24" t="s">
        <v>149</v>
      </c>
      <c r="M16" s="23"/>
      <c r="N16" s="23"/>
    </row>
    <row r="17" spans="1:14" ht="42" customHeight="1" x14ac:dyDescent="0.25">
      <c r="A17" s="22" t="s">
        <v>170</v>
      </c>
      <c r="B17" s="23" t="s">
        <v>112</v>
      </c>
      <c r="C17" s="24" t="s">
        <v>92</v>
      </c>
      <c r="D17" s="24" t="s">
        <v>122</v>
      </c>
      <c r="E17" s="23" t="s">
        <v>171</v>
      </c>
      <c r="F17" s="23" t="s">
        <v>172</v>
      </c>
      <c r="G17" s="24" t="s">
        <v>86</v>
      </c>
      <c r="H17" s="24" t="s">
        <v>102</v>
      </c>
      <c r="I17" s="23" t="s">
        <v>130</v>
      </c>
      <c r="J17" s="24" t="s">
        <v>157</v>
      </c>
      <c r="K17" s="24" t="s">
        <v>87</v>
      </c>
      <c r="L17" s="24" t="s">
        <v>149</v>
      </c>
      <c r="M17" s="23"/>
      <c r="N17" s="23"/>
    </row>
    <row r="18" spans="1:14" ht="42" customHeight="1" x14ac:dyDescent="0.25">
      <c r="A18" s="22" t="s">
        <v>173</v>
      </c>
      <c r="B18" s="23" t="s">
        <v>115</v>
      </c>
      <c r="C18" s="24" t="s">
        <v>92</v>
      </c>
      <c r="D18" s="24" t="s">
        <v>122</v>
      </c>
      <c r="E18" s="23" t="s">
        <v>174</v>
      </c>
      <c r="F18" s="23" t="s">
        <v>175</v>
      </c>
      <c r="G18" s="24" t="s">
        <v>86</v>
      </c>
      <c r="H18" s="24" t="s">
        <v>103</v>
      </c>
      <c r="I18" s="23" t="s">
        <v>134</v>
      </c>
      <c r="J18" s="24" t="s">
        <v>176</v>
      </c>
      <c r="K18" s="24" t="s">
        <v>87</v>
      </c>
      <c r="L18" s="24" t="s">
        <v>149</v>
      </c>
      <c r="M18" s="23"/>
      <c r="N18" s="23"/>
    </row>
    <row r="19" spans="1:14" ht="42" customHeight="1" x14ac:dyDescent="0.25">
      <c r="A19" s="22" t="s">
        <v>177</v>
      </c>
      <c r="B19" s="23" t="s">
        <v>116</v>
      </c>
      <c r="C19" s="24" t="s">
        <v>92</v>
      </c>
      <c r="D19" s="24" t="s">
        <v>122</v>
      </c>
      <c r="E19" s="23" t="s">
        <v>178</v>
      </c>
      <c r="F19" s="23" t="s">
        <v>179</v>
      </c>
      <c r="G19" s="24" t="s">
        <v>86</v>
      </c>
      <c r="H19" s="24" t="s">
        <v>103</v>
      </c>
      <c r="I19" s="23" t="s">
        <v>134</v>
      </c>
      <c r="J19" s="24" t="s">
        <v>150</v>
      </c>
      <c r="K19" s="24" t="s">
        <v>87</v>
      </c>
      <c r="L19" s="24" t="s">
        <v>180</v>
      </c>
      <c r="M19" s="23"/>
      <c r="N19" s="23" t="s">
        <v>181</v>
      </c>
    </row>
    <row r="20" spans="1:14" ht="42" customHeight="1" x14ac:dyDescent="0.25">
      <c r="A20" s="22" t="s">
        <v>182</v>
      </c>
      <c r="B20" s="23" t="s">
        <v>108</v>
      </c>
      <c r="C20" s="24" t="s">
        <v>93</v>
      </c>
      <c r="D20" s="24" t="s">
        <v>122</v>
      </c>
      <c r="E20" s="23" t="s">
        <v>183</v>
      </c>
      <c r="F20" s="23" t="s">
        <v>184</v>
      </c>
      <c r="G20" s="24" t="s">
        <v>85</v>
      </c>
      <c r="H20" s="24" t="s">
        <v>102</v>
      </c>
      <c r="I20" s="23" t="s">
        <v>125</v>
      </c>
      <c r="J20" s="24" t="s">
        <v>140</v>
      </c>
      <c r="K20" s="24" t="s">
        <v>87</v>
      </c>
      <c r="L20" s="24" t="s">
        <v>126</v>
      </c>
      <c r="M20" s="23"/>
      <c r="N20" s="23"/>
    </row>
    <row r="21" spans="1:14" ht="42" customHeight="1" x14ac:dyDescent="0.25">
      <c r="A21" s="22" t="s">
        <v>185</v>
      </c>
      <c r="B21" s="23" t="s">
        <v>115</v>
      </c>
      <c r="C21" s="24" t="s">
        <v>93</v>
      </c>
      <c r="D21" s="24" t="s">
        <v>122</v>
      </c>
      <c r="E21" s="23" t="s">
        <v>186</v>
      </c>
      <c r="F21" s="23" t="s">
        <v>187</v>
      </c>
      <c r="G21" s="24" t="s">
        <v>85</v>
      </c>
      <c r="H21" s="24" t="s">
        <v>103</v>
      </c>
      <c r="I21" s="23" t="s">
        <v>134</v>
      </c>
      <c r="J21" s="24" t="s">
        <v>188</v>
      </c>
      <c r="K21" s="24" t="s">
        <v>87</v>
      </c>
      <c r="L21" s="24" t="s">
        <v>126</v>
      </c>
      <c r="M21" s="23"/>
      <c r="N21" s="23"/>
    </row>
    <row r="22" spans="1:14" ht="42" customHeight="1" x14ac:dyDescent="0.25">
      <c r="A22" s="22" t="s">
        <v>189</v>
      </c>
      <c r="B22" s="23" t="s">
        <v>115</v>
      </c>
      <c r="C22" s="24" t="s">
        <v>93</v>
      </c>
      <c r="D22" s="24" t="s">
        <v>122</v>
      </c>
      <c r="E22" s="23" t="s">
        <v>190</v>
      </c>
      <c r="F22" s="23" t="s">
        <v>191</v>
      </c>
      <c r="G22" s="24" t="s">
        <v>85</v>
      </c>
      <c r="H22" s="24" t="s">
        <v>103</v>
      </c>
      <c r="I22" s="23" t="s">
        <v>134</v>
      </c>
      <c r="J22" s="24" t="s">
        <v>185</v>
      </c>
      <c r="K22" s="24" t="s">
        <v>87</v>
      </c>
      <c r="L22" s="24" t="s">
        <v>126</v>
      </c>
      <c r="M22" s="23"/>
      <c r="N22" s="23" t="s">
        <v>192</v>
      </c>
    </row>
    <row r="23" spans="1:14" ht="42" customHeight="1" x14ac:dyDescent="0.25">
      <c r="A23" s="22" t="s">
        <v>193</v>
      </c>
      <c r="B23" s="23" t="s">
        <v>115</v>
      </c>
      <c r="C23" s="24" t="s">
        <v>93</v>
      </c>
      <c r="D23" s="24" t="s">
        <v>122</v>
      </c>
      <c r="E23" s="23" t="s">
        <v>194</v>
      </c>
      <c r="F23" s="23" t="s">
        <v>195</v>
      </c>
      <c r="G23" s="24" t="s">
        <v>85</v>
      </c>
      <c r="H23" s="24" t="s">
        <v>103</v>
      </c>
      <c r="I23" s="23" t="s">
        <v>134</v>
      </c>
      <c r="J23" s="24" t="s">
        <v>189</v>
      </c>
      <c r="K23" s="24" t="s">
        <v>87</v>
      </c>
      <c r="L23" s="24" t="s">
        <v>126</v>
      </c>
      <c r="M23" s="23"/>
      <c r="N23" s="23"/>
    </row>
    <row r="24" spans="1:14" ht="42" customHeight="1" x14ac:dyDescent="0.25">
      <c r="A24" s="22" t="s">
        <v>176</v>
      </c>
      <c r="B24" s="23" t="s">
        <v>115</v>
      </c>
      <c r="C24" s="24" t="s">
        <v>93</v>
      </c>
      <c r="D24" s="24" t="s">
        <v>122</v>
      </c>
      <c r="E24" s="23" t="s">
        <v>196</v>
      </c>
      <c r="F24" s="23" t="s">
        <v>197</v>
      </c>
      <c r="G24" s="24" t="s">
        <v>85</v>
      </c>
      <c r="H24" s="24" t="s">
        <v>103</v>
      </c>
      <c r="I24" s="23" t="s">
        <v>134</v>
      </c>
      <c r="J24" s="24" t="s">
        <v>189</v>
      </c>
      <c r="K24" s="24" t="s">
        <v>87</v>
      </c>
      <c r="L24" s="24" t="s">
        <v>126</v>
      </c>
      <c r="M24" s="23"/>
      <c r="N24" s="23"/>
    </row>
    <row r="25" spans="1:14" ht="42" customHeight="1" x14ac:dyDescent="0.25">
      <c r="A25" s="22" t="s">
        <v>198</v>
      </c>
      <c r="B25" s="23" t="s">
        <v>115</v>
      </c>
      <c r="C25" s="24" t="s">
        <v>93</v>
      </c>
      <c r="D25" s="24" t="s">
        <v>122</v>
      </c>
      <c r="E25" s="23" t="s">
        <v>199</v>
      </c>
      <c r="F25" s="23" t="s">
        <v>200</v>
      </c>
      <c r="G25" s="24" t="s">
        <v>85</v>
      </c>
      <c r="H25" s="24" t="s">
        <v>103</v>
      </c>
      <c r="I25" s="23" t="s">
        <v>134</v>
      </c>
      <c r="J25" s="24" t="s">
        <v>201</v>
      </c>
      <c r="K25" s="24" t="s">
        <v>87</v>
      </c>
      <c r="L25" s="24" t="s">
        <v>126</v>
      </c>
      <c r="M25" s="23"/>
      <c r="N25" s="23" t="s">
        <v>202</v>
      </c>
    </row>
    <row r="26" spans="1:14" ht="42" customHeight="1" x14ac:dyDescent="0.25">
      <c r="A26" s="22" t="s">
        <v>144</v>
      </c>
      <c r="B26" s="23" t="s">
        <v>108</v>
      </c>
      <c r="C26" s="24" t="s">
        <v>93</v>
      </c>
      <c r="D26" s="24" t="s">
        <v>122</v>
      </c>
      <c r="E26" s="23" t="s">
        <v>203</v>
      </c>
      <c r="F26" s="23" t="s">
        <v>204</v>
      </c>
      <c r="G26" s="24" t="s">
        <v>85</v>
      </c>
      <c r="H26" s="24" t="s">
        <v>104</v>
      </c>
      <c r="I26" s="23" t="s">
        <v>143</v>
      </c>
      <c r="J26" s="24"/>
      <c r="K26" s="24" t="s">
        <v>87</v>
      </c>
      <c r="L26" s="24" t="s">
        <v>126</v>
      </c>
      <c r="M26" s="23"/>
      <c r="N26" s="23"/>
    </row>
    <row r="27" spans="1:14" ht="42" customHeight="1" x14ac:dyDescent="0.25">
      <c r="A27" s="22" t="s">
        <v>205</v>
      </c>
      <c r="B27" s="23" t="s">
        <v>110</v>
      </c>
      <c r="C27" s="24" t="s">
        <v>94</v>
      </c>
      <c r="D27" s="24" t="s">
        <v>122</v>
      </c>
      <c r="E27" s="23" t="s">
        <v>206</v>
      </c>
      <c r="F27" s="23" t="s">
        <v>207</v>
      </c>
      <c r="G27" s="24" t="s">
        <v>85</v>
      </c>
      <c r="H27" s="24" t="s">
        <v>100</v>
      </c>
      <c r="I27" s="23" t="s">
        <v>148</v>
      </c>
      <c r="J27" s="24" t="s">
        <v>162</v>
      </c>
      <c r="K27" s="24" t="s">
        <v>87</v>
      </c>
      <c r="L27" s="24" t="s">
        <v>149</v>
      </c>
      <c r="M27" s="23"/>
      <c r="N27" s="23"/>
    </row>
    <row r="28" spans="1:14" ht="42" customHeight="1" x14ac:dyDescent="0.25">
      <c r="A28" s="22" t="s">
        <v>208</v>
      </c>
      <c r="B28" s="23" t="s">
        <v>111</v>
      </c>
      <c r="C28" s="24" t="s">
        <v>94</v>
      </c>
      <c r="D28" s="24" t="s">
        <v>122</v>
      </c>
      <c r="E28" s="23" t="s">
        <v>209</v>
      </c>
      <c r="F28" s="23" t="s">
        <v>210</v>
      </c>
      <c r="G28" s="24" t="s">
        <v>86</v>
      </c>
      <c r="H28" s="24" t="s">
        <v>100</v>
      </c>
      <c r="I28" s="23" t="s">
        <v>148</v>
      </c>
      <c r="J28" s="24" t="s">
        <v>135</v>
      </c>
      <c r="K28" s="24" t="s">
        <v>87</v>
      </c>
      <c r="L28" s="24" t="s">
        <v>149</v>
      </c>
      <c r="M28" s="23"/>
      <c r="N28" s="23"/>
    </row>
    <row r="29" spans="1:14" ht="42" customHeight="1" x14ac:dyDescent="0.25">
      <c r="A29" s="22" t="s">
        <v>211</v>
      </c>
      <c r="B29" s="23" t="s">
        <v>112</v>
      </c>
      <c r="C29" s="24" t="s">
        <v>94</v>
      </c>
      <c r="D29" s="24" t="s">
        <v>122</v>
      </c>
      <c r="E29" s="23" t="s">
        <v>212</v>
      </c>
      <c r="F29" s="23" t="s">
        <v>213</v>
      </c>
      <c r="G29" s="24" t="s">
        <v>85</v>
      </c>
      <c r="H29" s="24" t="s">
        <v>101</v>
      </c>
      <c r="I29" s="23" t="s">
        <v>160</v>
      </c>
      <c r="J29" s="24" t="s">
        <v>157</v>
      </c>
      <c r="K29" s="24" t="s">
        <v>87</v>
      </c>
      <c r="L29" s="24" t="s">
        <v>180</v>
      </c>
      <c r="M29" s="23"/>
      <c r="N29" s="23" t="s">
        <v>214</v>
      </c>
    </row>
    <row r="30" spans="1:14" ht="42" customHeight="1" x14ac:dyDescent="0.25">
      <c r="A30" s="22" t="s">
        <v>215</v>
      </c>
      <c r="B30" s="23" t="s">
        <v>108</v>
      </c>
      <c r="C30" s="24" t="s">
        <v>94</v>
      </c>
      <c r="D30" s="24" t="s">
        <v>122</v>
      </c>
      <c r="E30" s="23" t="s">
        <v>216</v>
      </c>
      <c r="F30" s="23" t="s">
        <v>217</v>
      </c>
      <c r="G30" s="24" t="s">
        <v>85</v>
      </c>
      <c r="H30" s="24" t="s">
        <v>102</v>
      </c>
      <c r="I30" s="23" t="s">
        <v>125</v>
      </c>
      <c r="J30" s="24"/>
      <c r="K30" s="24" t="s">
        <v>87</v>
      </c>
      <c r="L30" s="24" t="s">
        <v>180</v>
      </c>
      <c r="M30" s="23"/>
      <c r="N30" s="23" t="s">
        <v>218</v>
      </c>
    </row>
    <row r="31" spans="1:14" ht="42" customHeight="1" x14ac:dyDescent="0.25">
      <c r="A31" s="22" t="s">
        <v>135</v>
      </c>
      <c r="B31" s="23" t="s">
        <v>111</v>
      </c>
      <c r="C31" s="24" t="s">
        <v>94</v>
      </c>
      <c r="D31" s="24" t="s">
        <v>122</v>
      </c>
      <c r="E31" s="23" t="s">
        <v>219</v>
      </c>
      <c r="F31" s="23" t="s">
        <v>220</v>
      </c>
      <c r="G31" s="24" t="s">
        <v>85</v>
      </c>
      <c r="H31" s="24" t="s">
        <v>102</v>
      </c>
      <c r="I31" s="23" t="s">
        <v>130</v>
      </c>
      <c r="J31" s="24" t="s">
        <v>205</v>
      </c>
      <c r="K31" s="24" t="s">
        <v>87</v>
      </c>
      <c r="L31" s="24" t="s">
        <v>149</v>
      </c>
      <c r="M31" s="23"/>
      <c r="N31" s="23"/>
    </row>
    <row r="32" spans="1:14" ht="42" customHeight="1" x14ac:dyDescent="0.25">
      <c r="A32" s="22" t="s">
        <v>161</v>
      </c>
      <c r="B32" s="23" t="s">
        <v>113</v>
      </c>
      <c r="C32" s="24" t="s">
        <v>94</v>
      </c>
      <c r="D32" s="24" t="s">
        <v>122</v>
      </c>
      <c r="E32" s="23" t="s">
        <v>221</v>
      </c>
      <c r="F32" s="23" t="s">
        <v>222</v>
      </c>
      <c r="G32" s="24" t="s">
        <v>85</v>
      </c>
      <c r="H32" s="24" t="s">
        <v>102</v>
      </c>
      <c r="I32" s="23" t="s">
        <v>130</v>
      </c>
      <c r="J32" s="24" t="s">
        <v>135</v>
      </c>
      <c r="K32" s="24" t="s">
        <v>87</v>
      </c>
      <c r="L32" s="24" t="s">
        <v>149</v>
      </c>
      <c r="M32" s="23"/>
      <c r="N32" s="23"/>
    </row>
    <row r="33" spans="1:14" ht="42" customHeight="1" x14ac:dyDescent="0.25">
      <c r="A33" s="22" t="s">
        <v>169</v>
      </c>
      <c r="B33" s="23" t="s">
        <v>114</v>
      </c>
      <c r="C33" s="24" t="s">
        <v>94</v>
      </c>
      <c r="D33" s="24" t="s">
        <v>122</v>
      </c>
      <c r="E33" s="23" t="s">
        <v>223</v>
      </c>
      <c r="F33" s="23" t="s">
        <v>224</v>
      </c>
      <c r="G33" s="24" t="s">
        <v>85</v>
      </c>
      <c r="H33" s="24" t="s">
        <v>102</v>
      </c>
      <c r="I33" s="23" t="s">
        <v>130</v>
      </c>
      <c r="J33" s="24" t="s">
        <v>135</v>
      </c>
      <c r="K33" s="24" t="s">
        <v>87</v>
      </c>
      <c r="L33" s="24" t="s">
        <v>180</v>
      </c>
      <c r="M33" s="23"/>
      <c r="N33" s="23" t="s">
        <v>225</v>
      </c>
    </row>
    <row r="34" spans="1:14" ht="42" customHeight="1" x14ac:dyDescent="0.25">
      <c r="A34" s="22" t="s">
        <v>188</v>
      </c>
      <c r="B34" s="23" t="s">
        <v>115</v>
      </c>
      <c r="C34" s="24" t="s">
        <v>94</v>
      </c>
      <c r="D34" s="24" t="s">
        <v>122</v>
      </c>
      <c r="E34" s="23" t="s">
        <v>226</v>
      </c>
      <c r="F34" s="23" t="s">
        <v>227</v>
      </c>
      <c r="G34" s="24" t="s">
        <v>85</v>
      </c>
      <c r="H34" s="24" t="s">
        <v>103</v>
      </c>
      <c r="I34" s="23" t="s">
        <v>134</v>
      </c>
      <c r="J34" s="24" t="s">
        <v>161</v>
      </c>
      <c r="K34" s="24" t="s">
        <v>87</v>
      </c>
      <c r="L34" s="24" t="s">
        <v>126</v>
      </c>
      <c r="M34" s="23"/>
      <c r="N34" s="23"/>
    </row>
    <row r="35" spans="1:14" ht="42" customHeight="1" x14ac:dyDescent="0.25">
      <c r="A35" s="22" t="s">
        <v>228</v>
      </c>
      <c r="B35" s="23" t="s">
        <v>115</v>
      </c>
      <c r="C35" s="24" t="s">
        <v>94</v>
      </c>
      <c r="D35" s="24" t="s">
        <v>122</v>
      </c>
      <c r="E35" s="23" t="s">
        <v>229</v>
      </c>
      <c r="F35" s="23" t="s">
        <v>230</v>
      </c>
      <c r="G35" s="24" t="s">
        <v>85</v>
      </c>
      <c r="H35" s="24" t="s">
        <v>103</v>
      </c>
      <c r="I35" s="23" t="s">
        <v>134</v>
      </c>
      <c r="J35" s="24" t="s">
        <v>193</v>
      </c>
      <c r="K35" s="24" t="s">
        <v>87</v>
      </c>
      <c r="L35" s="24" t="s">
        <v>126</v>
      </c>
      <c r="M35" s="23"/>
      <c r="N35" s="23" t="s">
        <v>231</v>
      </c>
    </row>
    <row r="36" spans="1:14" ht="42" customHeight="1" x14ac:dyDescent="0.25">
      <c r="A36" s="22" t="s">
        <v>201</v>
      </c>
      <c r="B36" s="23" t="s">
        <v>115</v>
      </c>
      <c r="C36" s="24" t="s">
        <v>94</v>
      </c>
      <c r="D36" s="24" t="s">
        <v>122</v>
      </c>
      <c r="E36" s="23" t="s">
        <v>232</v>
      </c>
      <c r="F36" s="23" t="s">
        <v>233</v>
      </c>
      <c r="G36" s="24" t="s">
        <v>85</v>
      </c>
      <c r="H36" s="24" t="s">
        <v>103</v>
      </c>
      <c r="I36" s="23" t="s">
        <v>134</v>
      </c>
      <c r="J36" s="24" t="s">
        <v>188</v>
      </c>
      <c r="K36" s="24" t="s">
        <v>87</v>
      </c>
      <c r="L36" s="24" t="s">
        <v>126</v>
      </c>
      <c r="M36" s="23"/>
      <c r="N36" s="23"/>
    </row>
    <row r="37" spans="1:14" ht="42" customHeight="1" x14ac:dyDescent="0.25">
      <c r="A37" s="22" t="s">
        <v>234</v>
      </c>
      <c r="B37" s="23" t="s">
        <v>115</v>
      </c>
      <c r="C37" s="24" t="s">
        <v>94</v>
      </c>
      <c r="D37" s="24" t="s">
        <v>122</v>
      </c>
      <c r="E37" s="23" t="s">
        <v>235</v>
      </c>
      <c r="F37" s="23" t="s">
        <v>236</v>
      </c>
      <c r="G37" s="24" t="s">
        <v>86</v>
      </c>
      <c r="H37" s="24" t="s">
        <v>103</v>
      </c>
      <c r="I37" s="23" t="s">
        <v>134</v>
      </c>
      <c r="J37" s="24" t="s">
        <v>198</v>
      </c>
      <c r="K37" s="24" t="s">
        <v>87</v>
      </c>
      <c r="L37" s="24" t="s">
        <v>126</v>
      </c>
      <c r="M37" s="23"/>
      <c r="N37" s="23"/>
    </row>
    <row r="38" spans="1:14" ht="42" customHeight="1" x14ac:dyDescent="0.25">
      <c r="A38" s="22" t="s">
        <v>237</v>
      </c>
      <c r="B38" s="23" t="s">
        <v>117</v>
      </c>
      <c r="C38" s="24" t="s">
        <v>95</v>
      </c>
      <c r="D38" s="24" t="s">
        <v>238</v>
      </c>
      <c r="E38" s="23" t="s">
        <v>239</v>
      </c>
      <c r="F38" s="23" t="s">
        <v>240</v>
      </c>
      <c r="G38" s="24" t="s">
        <v>85</v>
      </c>
      <c r="H38" s="24" t="s">
        <v>99</v>
      </c>
      <c r="I38" s="23" t="s">
        <v>241</v>
      </c>
      <c r="J38" s="24"/>
      <c r="K38" s="24" t="s">
        <v>87</v>
      </c>
      <c r="L38" s="24" t="s">
        <v>242</v>
      </c>
      <c r="M38" s="23"/>
      <c r="N38" s="23"/>
    </row>
    <row r="39" spans="1:14" ht="42" customHeight="1" x14ac:dyDescent="0.25">
      <c r="A39" s="22" t="s">
        <v>243</v>
      </c>
      <c r="B39" s="23" t="s">
        <v>111</v>
      </c>
      <c r="C39" s="24" t="s">
        <v>95</v>
      </c>
      <c r="D39" s="24" t="s">
        <v>122</v>
      </c>
      <c r="E39" s="23" t="s">
        <v>244</v>
      </c>
      <c r="F39" s="23" t="s">
        <v>245</v>
      </c>
      <c r="G39" s="24" t="s">
        <v>85</v>
      </c>
      <c r="H39" s="24" t="s">
        <v>102</v>
      </c>
      <c r="I39" s="23" t="s">
        <v>130</v>
      </c>
      <c r="J39" s="24" t="s">
        <v>135</v>
      </c>
      <c r="K39" s="24" t="s">
        <v>87</v>
      </c>
      <c r="L39" s="24" t="s">
        <v>149</v>
      </c>
      <c r="M39" s="23"/>
      <c r="N39" s="23" t="s">
        <v>246</v>
      </c>
    </row>
    <row r="40" spans="1:14" ht="42" customHeight="1" x14ac:dyDescent="0.25">
      <c r="A40" s="22" t="s">
        <v>247</v>
      </c>
      <c r="B40" s="23" t="s">
        <v>111</v>
      </c>
      <c r="C40" s="24" t="s">
        <v>95</v>
      </c>
      <c r="D40" s="24" t="s">
        <v>122</v>
      </c>
      <c r="E40" s="23" t="s">
        <v>248</v>
      </c>
      <c r="F40" s="23" t="s">
        <v>249</v>
      </c>
      <c r="G40" s="24" t="s">
        <v>85</v>
      </c>
      <c r="H40" s="24" t="s">
        <v>102</v>
      </c>
      <c r="I40" s="23" t="s">
        <v>130</v>
      </c>
      <c r="J40" s="24" t="s">
        <v>135</v>
      </c>
      <c r="K40" s="24" t="s">
        <v>87</v>
      </c>
      <c r="L40" s="24" t="s">
        <v>149</v>
      </c>
      <c r="M40" s="23"/>
      <c r="N40" s="23" t="s">
        <v>246</v>
      </c>
    </row>
    <row r="41" spans="1:14" ht="42" customHeight="1" x14ac:dyDescent="0.25">
      <c r="A41" s="22" t="s">
        <v>250</v>
      </c>
      <c r="B41" s="23" t="s">
        <v>108</v>
      </c>
      <c r="C41" s="24" t="s">
        <v>95</v>
      </c>
      <c r="D41" s="24" t="s">
        <v>122</v>
      </c>
      <c r="E41" s="23" t="s">
        <v>251</v>
      </c>
      <c r="F41" s="23" t="s">
        <v>252</v>
      </c>
      <c r="G41" s="24" t="s">
        <v>85</v>
      </c>
      <c r="H41" s="24" t="s">
        <v>102</v>
      </c>
      <c r="I41" s="23" t="s">
        <v>125</v>
      </c>
      <c r="J41" s="24"/>
      <c r="K41" s="24" t="s">
        <v>87</v>
      </c>
      <c r="L41" s="24" t="s">
        <v>149</v>
      </c>
      <c r="M41" s="23"/>
      <c r="N41" s="23"/>
    </row>
    <row r="42" spans="1:14" ht="42" customHeight="1" x14ac:dyDescent="0.25">
      <c r="A42" s="22" t="s">
        <v>253</v>
      </c>
      <c r="B42" s="23" t="s">
        <v>114</v>
      </c>
      <c r="C42" s="24" t="s">
        <v>95</v>
      </c>
      <c r="D42" s="24" t="s">
        <v>122</v>
      </c>
      <c r="E42" s="23" t="s">
        <v>254</v>
      </c>
      <c r="F42" s="23" t="s">
        <v>255</v>
      </c>
      <c r="G42" s="24" t="s">
        <v>85</v>
      </c>
      <c r="H42" s="24" t="s">
        <v>102</v>
      </c>
      <c r="I42" s="23" t="s">
        <v>130</v>
      </c>
      <c r="J42" s="24" t="s">
        <v>169</v>
      </c>
      <c r="K42" s="24" t="s">
        <v>87</v>
      </c>
      <c r="L42" s="24" t="s">
        <v>149</v>
      </c>
      <c r="M42" s="23"/>
      <c r="N42" s="23"/>
    </row>
    <row r="43" spans="1:14" ht="42" customHeight="1" x14ac:dyDescent="0.25">
      <c r="A43" s="22" t="s">
        <v>256</v>
      </c>
      <c r="B43" s="23" t="s">
        <v>117</v>
      </c>
      <c r="C43" s="24" t="s">
        <v>95</v>
      </c>
      <c r="D43" s="24" t="s">
        <v>238</v>
      </c>
      <c r="E43" s="23" t="s">
        <v>257</v>
      </c>
      <c r="F43" s="23" t="s">
        <v>258</v>
      </c>
      <c r="G43" s="24" t="s">
        <v>85</v>
      </c>
      <c r="H43" s="24" t="s">
        <v>102</v>
      </c>
      <c r="I43" s="23" t="s">
        <v>125</v>
      </c>
      <c r="J43" s="24"/>
      <c r="K43" s="24" t="s">
        <v>87</v>
      </c>
      <c r="L43" s="24" t="s">
        <v>242</v>
      </c>
      <c r="M43" s="23"/>
      <c r="N43" s="23"/>
    </row>
    <row r="44" spans="1:14" ht="42" customHeight="1" x14ac:dyDescent="0.25">
      <c r="A44" s="22" t="s">
        <v>259</v>
      </c>
      <c r="B44" s="23" t="s">
        <v>117</v>
      </c>
      <c r="C44" s="24" t="s">
        <v>95</v>
      </c>
      <c r="D44" s="24" t="s">
        <v>238</v>
      </c>
      <c r="E44" s="23" t="s">
        <v>260</v>
      </c>
      <c r="F44" s="23" t="s">
        <v>261</v>
      </c>
      <c r="G44" s="24" t="s">
        <v>85</v>
      </c>
      <c r="H44" s="24" t="s">
        <v>102</v>
      </c>
      <c r="I44" s="23" t="s">
        <v>130</v>
      </c>
      <c r="J44" s="24"/>
      <c r="K44" s="24" t="s">
        <v>87</v>
      </c>
      <c r="L44" s="24" t="s">
        <v>242</v>
      </c>
      <c r="M44" s="23"/>
      <c r="N44" s="23"/>
    </row>
    <row r="45" spans="1:14" ht="42" customHeight="1" x14ac:dyDescent="0.25">
      <c r="A45" s="22" t="s">
        <v>262</v>
      </c>
      <c r="B45" s="23" t="s">
        <v>117</v>
      </c>
      <c r="C45" s="24" t="s">
        <v>95</v>
      </c>
      <c r="D45" s="24" t="s">
        <v>238</v>
      </c>
      <c r="E45" s="23" t="s">
        <v>263</v>
      </c>
      <c r="F45" s="23" t="s">
        <v>264</v>
      </c>
      <c r="G45" s="24" t="s">
        <v>85</v>
      </c>
      <c r="H45" s="24" t="s">
        <v>102</v>
      </c>
      <c r="I45" s="23" t="s">
        <v>130</v>
      </c>
      <c r="J45" s="24" t="s">
        <v>259</v>
      </c>
      <c r="K45" s="24" t="s">
        <v>87</v>
      </c>
      <c r="L45" s="24" t="s">
        <v>242</v>
      </c>
      <c r="M45" s="23"/>
      <c r="N45" s="23"/>
    </row>
    <row r="46" spans="1:14" ht="42" customHeight="1" x14ac:dyDescent="0.25">
      <c r="A46" s="22" t="s">
        <v>265</v>
      </c>
      <c r="B46" s="23" t="s">
        <v>117</v>
      </c>
      <c r="C46" s="24" t="s">
        <v>95</v>
      </c>
      <c r="D46" s="24" t="s">
        <v>238</v>
      </c>
      <c r="E46" s="23" t="s">
        <v>266</v>
      </c>
      <c r="F46" s="23" t="s">
        <v>267</v>
      </c>
      <c r="G46" s="24" t="s">
        <v>85</v>
      </c>
      <c r="H46" s="24" t="s">
        <v>102</v>
      </c>
      <c r="I46" s="23" t="s">
        <v>130</v>
      </c>
      <c r="J46" s="24"/>
      <c r="K46" s="24" t="s">
        <v>87</v>
      </c>
      <c r="L46" s="24" t="s">
        <v>242</v>
      </c>
      <c r="M46" s="23"/>
      <c r="N46" s="23"/>
    </row>
    <row r="47" spans="1:14" ht="42" customHeight="1" x14ac:dyDescent="0.25">
      <c r="A47" s="22" t="s">
        <v>139</v>
      </c>
      <c r="B47" s="23" t="s">
        <v>117</v>
      </c>
      <c r="C47" s="24" t="s">
        <v>95</v>
      </c>
      <c r="D47" s="24" t="s">
        <v>238</v>
      </c>
      <c r="E47" s="23" t="s">
        <v>268</v>
      </c>
      <c r="F47" s="23" t="s">
        <v>269</v>
      </c>
      <c r="G47" s="24" t="s">
        <v>86</v>
      </c>
      <c r="H47" s="24" t="s">
        <v>102</v>
      </c>
      <c r="I47" s="23" t="s">
        <v>130</v>
      </c>
      <c r="J47" s="24"/>
      <c r="K47" s="24" t="s">
        <v>87</v>
      </c>
      <c r="L47" s="24" t="s">
        <v>242</v>
      </c>
      <c r="M47" s="23"/>
      <c r="N47" s="23"/>
    </row>
    <row r="48" spans="1:14" ht="42" customHeight="1" x14ac:dyDescent="0.25">
      <c r="A48" s="22" t="s">
        <v>270</v>
      </c>
      <c r="B48" s="23" t="s">
        <v>117</v>
      </c>
      <c r="C48" s="24" t="s">
        <v>95</v>
      </c>
      <c r="D48" s="24" t="s">
        <v>238</v>
      </c>
      <c r="E48" s="23" t="s">
        <v>271</v>
      </c>
      <c r="F48" s="23" t="s">
        <v>272</v>
      </c>
      <c r="G48" s="24" t="s">
        <v>85</v>
      </c>
      <c r="H48" s="24" t="s">
        <v>103</v>
      </c>
      <c r="I48" s="23" t="s">
        <v>134</v>
      </c>
      <c r="J48" s="24" t="s">
        <v>193</v>
      </c>
      <c r="K48" s="24" t="s">
        <v>87</v>
      </c>
      <c r="L48" s="24" t="s">
        <v>242</v>
      </c>
      <c r="M48" s="23"/>
      <c r="N48" s="23"/>
    </row>
    <row r="49" spans="1:14" ht="42" customHeight="1" x14ac:dyDescent="0.25">
      <c r="A49" s="22" t="s">
        <v>273</v>
      </c>
      <c r="B49" s="23" t="s">
        <v>117</v>
      </c>
      <c r="C49" s="24" t="s">
        <v>95</v>
      </c>
      <c r="D49" s="24" t="s">
        <v>238</v>
      </c>
      <c r="E49" s="23" t="s">
        <v>274</v>
      </c>
      <c r="F49" s="23" t="s">
        <v>275</v>
      </c>
      <c r="G49" s="24" t="s">
        <v>85</v>
      </c>
      <c r="H49" s="24" t="s">
        <v>103</v>
      </c>
      <c r="I49" s="23" t="s">
        <v>134</v>
      </c>
      <c r="J49" s="24" t="s">
        <v>276</v>
      </c>
      <c r="K49" s="24" t="s">
        <v>87</v>
      </c>
      <c r="L49" s="24" t="s">
        <v>242</v>
      </c>
      <c r="M49" s="23"/>
      <c r="N49" s="23" t="s">
        <v>277</v>
      </c>
    </row>
    <row r="50" spans="1:14" ht="42" customHeight="1" x14ac:dyDescent="0.25">
      <c r="A50" s="22" t="s">
        <v>276</v>
      </c>
      <c r="B50" s="23" t="s">
        <v>117</v>
      </c>
      <c r="C50" s="24" t="s">
        <v>95</v>
      </c>
      <c r="D50" s="24" t="s">
        <v>238</v>
      </c>
      <c r="E50" s="23" t="s">
        <v>278</v>
      </c>
      <c r="F50" s="23" t="s">
        <v>279</v>
      </c>
      <c r="G50" s="24" t="s">
        <v>85</v>
      </c>
      <c r="H50" s="24" t="s">
        <v>103</v>
      </c>
      <c r="I50" s="23" t="s">
        <v>134</v>
      </c>
      <c r="J50" s="24"/>
      <c r="K50" s="24" t="s">
        <v>87</v>
      </c>
      <c r="L50" s="24" t="s">
        <v>242</v>
      </c>
      <c r="M50" s="23"/>
      <c r="N50" s="23"/>
    </row>
  </sheetData>
  <autoFilter ref="A5:N50" xr:uid="{00000000-0009-0000-0000-000002000000}"/>
  <mergeCells count="3">
    <mergeCell ref="A3:N3"/>
    <mergeCell ref="A2:N2"/>
    <mergeCell ref="A1:N1"/>
  </mergeCells>
  <conditionalFormatting sqref="K6:K50">
    <cfRule type="cellIs" dxfId="26" priority="1" operator="equal">
      <formula>"Hecho"</formula>
    </cfRule>
    <cfRule type="cellIs" dxfId="25" priority="2" operator="equal">
      <formula>"En progreso"</formula>
    </cfRule>
    <cfRule type="cellIs" dxfId="24" priority="3" operator="equal">
      <formula>"Bloqueado"</formula>
    </cfRule>
    <cfRule type="cellIs" dxfId="23" priority="4" operator="equal">
      <formula>"Pendiente"</formula>
    </cfRule>
  </conditionalFormatting>
  <conditionalFormatting sqref="L6:L50">
    <cfRule type="cellIs" dxfId="22" priority="5" operator="equal">
      <formula>"Sí"</formula>
    </cfRule>
    <cfRule type="cellIs" dxfId="21" priority="6" operator="equal">
      <formula>"Parcial"</formula>
    </cfRule>
    <cfRule type="cellIs" dxfId="20" priority="7" operator="equal">
      <formula>"No"</formula>
    </cfRule>
  </conditionalFormatting>
  <conditionalFormatting sqref="G6:G50">
    <cfRule type="cellIs" dxfId="19" priority="8" operator="equal">
      <formula>"Alta"</formula>
    </cfRule>
    <cfRule type="cellIs" dxfId="18" priority="9" operator="equal">
      <formula>"Media"</formula>
    </cfRule>
  </conditionalFormatting>
  <dataValidations count="3">
    <dataValidation type="list" sqref="K6:K50" xr:uid="{00000000-0002-0000-0200-000000000000}">
      <formula1>"Pendiente,En progreso,Hecho,Bloqueado"</formula1>
    </dataValidation>
    <dataValidation type="list" sqref="G6:G50" xr:uid="{00000000-0002-0000-0200-000001000000}">
      <formula1>"Alta,Media,Baja"</formula1>
    </dataValidation>
    <dataValidation type="list" sqref="L6:L50" xr:uid="{00000000-0002-0000-0200-000002000000}">
      <formula1>"Sí,Parcial,No,NA"</formula1>
    </dataValidation>
  </dataValidation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9"/>
  <sheetViews>
    <sheetView showGridLines="0" workbookViewId="0">
      <pane ySplit="5" topLeftCell="A6" activePane="bottomLeft" state="frozen"/>
      <selection pane="bottomLeft"/>
    </sheetView>
  </sheetViews>
  <sheetFormatPr baseColWidth="10" defaultColWidth="9.140625" defaultRowHeight="15" outlineLevelRow="1" x14ac:dyDescent="0.25"/>
  <cols>
    <col min="1" max="1" width="11" customWidth="1"/>
    <col min="2" max="2" width="68" customWidth="1"/>
    <col min="3" max="3" width="22" customWidth="1"/>
    <col min="4" max="4" width="11" customWidth="1"/>
    <col min="5" max="5" width="12" customWidth="1"/>
    <col min="6" max="6" width="13" customWidth="1"/>
    <col min="7" max="7" width="10" customWidth="1"/>
    <col min="8" max="8" width="18" customWidth="1"/>
  </cols>
  <sheetData>
    <row r="1" spans="1:8" ht="33.950000000000003" customHeight="1" x14ac:dyDescent="0.25">
      <c r="A1" s="26" t="s">
        <v>280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32" t="s">
        <v>281</v>
      </c>
      <c r="B2" s="33"/>
      <c r="C2" s="33"/>
      <c r="D2" s="33"/>
      <c r="E2" s="33"/>
      <c r="F2" s="33"/>
      <c r="G2" s="33"/>
      <c r="H2" s="33"/>
    </row>
    <row r="3" spans="1:8" ht="15.95" customHeight="1" x14ac:dyDescent="0.25">
      <c r="A3" s="34" t="s">
        <v>282</v>
      </c>
      <c r="B3" s="31"/>
      <c r="C3" s="31"/>
      <c r="D3" s="31"/>
      <c r="E3" s="31"/>
      <c r="F3" s="31"/>
      <c r="G3" s="31"/>
      <c r="H3" s="31"/>
    </row>
    <row r="5" spans="1:8" ht="30" customHeight="1" x14ac:dyDescent="0.25">
      <c r="A5" s="1" t="s">
        <v>24</v>
      </c>
      <c r="B5" s="1" t="s">
        <v>36</v>
      </c>
      <c r="C5" s="1" t="s">
        <v>27</v>
      </c>
      <c r="D5" s="1" t="s">
        <v>41</v>
      </c>
      <c r="E5" s="1" t="s">
        <v>44</v>
      </c>
      <c r="F5" s="1" t="s">
        <v>53</v>
      </c>
      <c r="G5" s="1" t="s">
        <v>56</v>
      </c>
      <c r="H5" s="1" t="s">
        <v>59</v>
      </c>
    </row>
    <row r="6" spans="1:8" ht="21.95" customHeight="1" x14ac:dyDescent="0.25">
      <c r="A6" s="28" t="s">
        <v>283</v>
      </c>
      <c r="B6" s="29"/>
      <c r="C6" s="29"/>
      <c r="D6" s="29"/>
      <c r="E6" s="29"/>
      <c r="F6" s="29"/>
      <c r="G6" s="29"/>
      <c r="H6" s="29"/>
    </row>
    <row r="7" spans="1:8" ht="30" customHeight="1" outlineLevel="1" x14ac:dyDescent="0.25">
      <c r="A7" s="25" t="s">
        <v>121</v>
      </c>
      <c r="B7" s="3" t="str">
        <f>IFERROR(INDEX(Requerimientos!$E:$E,MATCH($A7,Requerimientos!$A:$A,0)),"")</f>
        <v>Activar y desactivar administradores de hotel taxistas y clientes</v>
      </c>
      <c r="C7" s="24" t="str">
        <f>IFERROR(INDEX(Requerimientos!$B:$B,MATCH($A7,Requerimientos!$A:$A,0)),"")</f>
        <v>M2 Gestión de usuarios</v>
      </c>
      <c r="D7" s="24" t="str">
        <f>IFERROR(INDEX(Requerimientos!$G:$G,MATCH($A7,Requerimientos!$A:$A,0)),"")</f>
        <v>Alta</v>
      </c>
      <c r="E7" s="24" t="str">
        <f>IFERROR(INDEX(Requerimientos!$H:$H,MATCH($A7,Requerimientos!$A:$A,0)),"")</f>
        <v>Lab 6</v>
      </c>
      <c r="F7" s="24" t="str">
        <f>IFERROR(INDEX(Requerimientos!$K:$K,MATCH($A7,Requerimientos!$A:$A,0)),"")</f>
        <v>Pendiente</v>
      </c>
      <c r="G7" s="24" t="str">
        <f>IFERROR(INDEX(Requerimientos!$L:$L,MATCH($A7,Requerimientos!$A:$A,0)),"")</f>
        <v>No</v>
      </c>
      <c r="H7" s="24">
        <f>IFERROR(INDEX(Requerimientos!$M:$M,MATCH($A7,Requerimientos!$A:$A,0)),"")</f>
        <v>0</v>
      </c>
    </row>
    <row r="8" spans="1:8" ht="30" customHeight="1" outlineLevel="1" x14ac:dyDescent="0.25">
      <c r="A8" s="25" t="s">
        <v>127</v>
      </c>
      <c r="B8" s="3" t="str">
        <f>IFERROR(INDEX(Requerimientos!$E:$E,MATCH($A8,Requerimientos!$A:$A,0)),"")</f>
        <v>Registrar hoteles y asignar un administrador a cada uno</v>
      </c>
      <c r="C8" s="24" t="str">
        <f>IFERROR(INDEX(Requerimientos!$B:$B,MATCH($A8,Requerimientos!$A:$A,0)),"")</f>
        <v>M2 Gestión de usuarios</v>
      </c>
      <c r="D8" s="24" t="str">
        <f>IFERROR(INDEX(Requerimientos!$G:$G,MATCH($A8,Requerimientos!$A:$A,0)),"")</f>
        <v>Alta</v>
      </c>
      <c r="E8" s="24" t="str">
        <f>IFERROR(INDEX(Requerimientos!$H:$H,MATCH($A8,Requerimientos!$A:$A,0)),"")</f>
        <v>Lab 6</v>
      </c>
      <c r="F8" s="24" t="str">
        <f>IFERROR(INDEX(Requerimientos!$K:$K,MATCH($A8,Requerimientos!$A:$A,0)),"")</f>
        <v>Pendiente</v>
      </c>
      <c r="G8" s="24" t="str">
        <f>IFERROR(INDEX(Requerimientos!$L:$L,MATCH($A8,Requerimientos!$A:$A,0)),"")</f>
        <v>No</v>
      </c>
      <c r="H8" s="24">
        <f>IFERROR(INDEX(Requerimientos!$M:$M,MATCH($A8,Requerimientos!$A:$A,0)),"")</f>
        <v>0</v>
      </c>
    </row>
    <row r="9" spans="1:8" ht="30" customHeight="1" outlineLevel="1" x14ac:dyDescent="0.25">
      <c r="A9" s="25" t="s">
        <v>131</v>
      </c>
      <c r="B9" s="3" t="str">
        <f>IFERROR(INDEX(Requerimientos!$E:$E,MATCH($A9,Requerimientos!$A:$A,0)),"")</f>
        <v>Generar el reporte de reservas por hotel</v>
      </c>
      <c r="C9" s="24" t="str">
        <f>IFERROR(INDEX(Requerimientos!$B:$B,MATCH($A9,Requerimientos!$A:$A,0)),"")</f>
        <v>M9 Reportes y logs</v>
      </c>
      <c r="D9" s="24" t="str">
        <f>IFERROR(INDEX(Requerimientos!$G:$G,MATCH($A9,Requerimientos!$A:$A,0)),"")</f>
        <v>Media</v>
      </c>
      <c r="E9" s="24" t="str">
        <f>IFERROR(INDEX(Requerimientos!$H:$H,MATCH($A9,Requerimientos!$A:$A,0)),"")</f>
        <v>Lab 7</v>
      </c>
      <c r="F9" s="24" t="str">
        <f>IFERROR(INDEX(Requerimientos!$K:$K,MATCH($A9,Requerimientos!$A:$A,0)),"")</f>
        <v>Pendiente</v>
      </c>
      <c r="G9" s="24" t="str">
        <f>IFERROR(INDEX(Requerimientos!$L:$L,MATCH($A9,Requerimientos!$A:$A,0)),"")</f>
        <v>No</v>
      </c>
      <c r="H9" s="24">
        <f>IFERROR(INDEX(Requerimientos!$M:$M,MATCH($A9,Requerimientos!$A:$A,0)),"")</f>
        <v>0</v>
      </c>
    </row>
    <row r="10" spans="1:8" ht="30" customHeight="1" outlineLevel="1" x14ac:dyDescent="0.25">
      <c r="A10" s="25" t="s">
        <v>136</v>
      </c>
      <c r="B10" s="3" t="str">
        <f>IFERROR(INDEX(Requerimientos!$E:$E,MATCH($A10,Requerimientos!$A:$A,0)),"")</f>
        <v>Consultar el visor de logs de eventos del sistema</v>
      </c>
      <c r="C10" s="24" t="str">
        <f>IFERROR(INDEX(Requerimientos!$B:$B,MATCH($A10,Requerimientos!$A:$A,0)),"")</f>
        <v>M9 Reportes y logs</v>
      </c>
      <c r="D10" s="24" t="str">
        <f>IFERROR(INDEX(Requerimientos!$G:$G,MATCH($A10,Requerimientos!$A:$A,0)),"")</f>
        <v>Media</v>
      </c>
      <c r="E10" s="24" t="str">
        <f>IFERROR(INDEX(Requerimientos!$H:$H,MATCH($A10,Requerimientos!$A:$A,0)),"")</f>
        <v>Lab 7</v>
      </c>
      <c r="F10" s="24" t="str">
        <f>IFERROR(INDEX(Requerimientos!$K:$K,MATCH($A10,Requerimientos!$A:$A,0)),"")</f>
        <v>Pendiente</v>
      </c>
      <c r="G10" s="24" t="str">
        <f>IFERROR(INDEX(Requerimientos!$L:$L,MATCH($A10,Requerimientos!$A:$A,0)),"")</f>
        <v>No</v>
      </c>
      <c r="H10" s="24">
        <f>IFERROR(INDEX(Requerimientos!$M:$M,MATCH($A10,Requerimientos!$A:$A,0)),"")</f>
        <v>0</v>
      </c>
    </row>
    <row r="11" spans="1:8" ht="30" customHeight="1" outlineLevel="1" x14ac:dyDescent="0.25">
      <c r="A11" s="25" t="s">
        <v>140</v>
      </c>
      <c r="B11" s="3" t="str">
        <f>IFERROR(INDEX(Requerimientos!$E:$E,MATCH($A11,Requerimientos!$A:$A,0)),"")</f>
        <v>Aprobar o habilitar taxistas desde la app web</v>
      </c>
      <c r="C11" s="24" t="str">
        <f>IFERROR(INDEX(Requerimientos!$B:$B,MATCH($A11,Requerimientos!$A:$A,0)),"")</f>
        <v>M2 Gestión de usuarios</v>
      </c>
      <c r="D11" s="24" t="str">
        <f>IFERROR(INDEX(Requerimientos!$G:$G,MATCH($A11,Requerimientos!$A:$A,0)),"")</f>
        <v>Alta</v>
      </c>
      <c r="E11" s="24" t="str">
        <f>IFERROR(INDEX(Requerimientos!$H:$H,MATCH($A11,Requerimientos!$A:$A,0)),"")</f>
        <v>Final</v>
      </c>
      <c r="F11" s="24" t="str">
        <f>IFERROR(INDEX(Requerimientos!$K:$K,MATCH($A11,Requerimientos!$A:$A,0)),"")</f>
        <v>Pendiente</v>
      </c>
      <c r="G11" s="24" t="str">
        <f>IFERROR(INDEX(Requerimientos!$L:$L,MATCH($A11,Requerimientos!$A:$A,0)),"")</f>
        <v>No</v>
      </c>
      <c r="H11" s="24">
        <f>IFERROR(INDEX(Requerimientos!$M:$M,MATCH($A11,Requerimientos!$A:$A,0)),"")</f>
        <v>0</v>
      </c>
    </row>
    <row r="13" spans="1:8" ht="21.95" customHeight="1" x14ac:dyDescent="0.25">
      <c r="A13" s="28" t="s">
        <v>284</v>
      </c>
      <c r="B13" s="29"/>
      <c r="C13" s="29"/>
      <c r="D13" s="29"/>
      <c r="E13" s="29"/>
      <c r="F13" s="29"/>
      <c r="G13" s="29"/>
      <c r="H13" s="29"/>
    </row>
    <row r="14" spans="1:8" ht="30" customHeight="1" outlineLevel="1" x14ac:dyDescent="0.25">
      <c r="A14" s="25" t="s">
        <v>145</v>
      </c>
      <c r="B14" s="3" t="str">
        <f>IFERROR(INDEX(Requerimientos!$E:$E,MATCH($A14,Requerimientos!$A:$A,0)),"")</f>
        <v>Registrar habitaciones con tipo capacidad de adultos y niños y tamaño en m2</v>
      </c>
      <c r="C14" s="24" t="str">
        <f>IFERROR(INDEX(Requerimientos!$B:$B,MATCH($A14,Requerimientos!$A:$A,0)),"")</f>
        <v>M3 Catálogo</v>
      </c>
      <c r="D14" s="24" t="str">
        <f>IFERROR(INDEX(Requerimientos!$G:$G,MATCH($A14,Requerimientos!$A:$A,0)),"")</f>
        <v>Alta</v>
      </c>
      <c r="E14" s="24" t="str">
        <f>IFERROR(INDEX(Requerimientos!$H:$H,MATCH($A14,Requerimientos!$A:$A,0)),"")</f>
        <v>Lab 4</v>
      </c>
      <c r="F14" s="24" t="str">
        <f>IFERROR(INDEX(Requerimientos!$K:$K,MATCH($A14,Requerimientos!$A:$A,0)),"")</f>
        <v>Pendiente</v>
      </c>
      <c r="G14" s="24" t="str">
        <f>IFERROR(INDEX(Requerimientos!$L:$L,MATCH($A14,Requerimientos!$A:$A,0)),"")</f>
        <v>Sí</v>
      </c>
      <c r="H14" s="24">
        <f>IFERROR(INDEX(Requerimientos!$M:$M,MATCH($A14,Requerimientos!$A:$A,0)),"")</f>
        <v>0</v>
      </c>
    </row>
    <row r="15" spans="1:8" ht="30" customHeight="1" outlineLevel="1" x14ac:dyDescent="0.25">
      <c r="A15" s="25" t="s">
        <v>150</v>
      </c>
      <c r="B15" s="3" t="str">
        <f>IFERROR(INDEX(Requerimientos!$E:$E,MATCH($A15,Requerimientos!$A:$A,0)),"")</f>
        <v>Registrar servicios con nombre descripción precio imágenes y si tienen costo</v>
      </c>
      <c r="C15" s="24" t="str">
        <f>IFERROR(INDEX(Requerimientos!$B:$B,MATCH($A15,Requerimientos!$A:$A,0)),"")</f>
        <v>M3 Catálogo</v>
      </c>
      <c r="D15" s="24" t="str">
        <f>IFERROR(INDEX(Requerimientos!$G:$G,MATCH($A15,Requerimientos!$A:$A,0)),"")</f>
        <v>Alta</v>
      </c>
      <c r="E15" s="24" t="str">
        <f>IFERROR(INDEX(Requerimientos!$H:$H,MATCH($A15,Requerimientos!$A:$A,0)),"")</f>
        <v>Lab 4</v>
      </c>
      <c r="F15" s="24" t="str">
        <f>IFERROR(INDEX(Requerimientos!$K:$K,MATCH($A15,Requerimientos!$A:$A,0)),"")</f>
        <v>Pendiente</v>
      </c>
      <c r="G15" s="24" t="str">
        <f>IFERROR(INDEX(Requerimientos!$L:$L,MATCH($A15,Requerimientos!$A:$A,0)),"")</f>
        <v>Sí</v>
      </c>
      <c r="H15" s="24">
        <f>IFERROR(INDEX(Requerimientos!$M:$M,MATCH($A15,Requerimientos!$A:$A,0)),"")</f>
        <v>0</v>
      </c>
    </row>
    <row r="16" spans="1:8" ht="30" customHeight="1" outlineLevel="1" x14ac:dyDescent="0.25">
      <c r="A16" s="25" t="s">
        <v>153</v>
      </c>
      <c r="B16" s="3" t="str">
        <f>IFERROR(INDEX(Requerimientos!$E:$E,MATCH($A16,Requerimientos!$A:$A,0)),"")</f>
        <v>Subir fotos del hotel con un mínimo de 4</v>
      </c>
      <c r="C16" s="24" t="str">
        <f>IFERROR(INDEX(Requerimientos!$B:$B,MATCH($A16,Requerimientos!$A:$A,0)),"")</f>
        <v>M3 Catálogo</v>
      </c>
      <c r="D16" s="24" t="str">
        <f>IFERROR(INDEX(Requerimientos!$G:$G,MATCH($A16,Requerimientos!$A:$A,0)),"")</f>
        <v>Alta</v>
      </c>
      <c r="E16" s="24" t="str">
        <f>IFERROR(INDEX(Requerimientos!$H:$H,MATCH($A16,Requerimientos!$A:$A,0)),"")</f>
        <v>Lab 5</v>
      </c>
      <c r="F16" s="24" t="str">
        <f>IFERROR(INDEX(Requerimientos!$K:$K,MATCH($A16,Requerimientos!$A:$A,0)),"")</f>
        <v>Pendiente</v>
      </c>
      <c r="G16" s="24" t="str">
        <f>IFERROR(INDEX(Requerimientos!$L:$L,MATCH($A16,Requerimientos!$A:$A,0)),"")</f>
        <v>Sí</v>
      </c>
      <c r="H16" s="24">
        <f>IFERROR(INDEX(Requerimientos!$M:$M,MATCH($A16,Requerimientos!$A:$A,0)),"")</f>
        <v>0</v>
      </c>
    </row>
    <row r="17" spans="1:8" ht="30" customHeight="1" outlineLevel="1" x14ac:dyDescent="0.25">
      <c r="A17" s="25" t="s">
        <v>157</v>
      </c>
      <c r="B17" s="3" t="str">
        <f>IFERROR(INDEX(Requerimientos!$E:$E,MATCH($A17,Requerimientos!$A:$A,0)),"")</f>
        <v>Recibir la alerta de checkout y procesar el cobro de la tarjeta registrada</v>
      </c>
      <c r="C17" s="24" t="str">
        <f>IFERROR(INDEX(Requerimientos!$B:$B,MATCH($A17,Requerimientos!$A:$A,0)),"")</f>
        <v>M5 Pagos y cobros</v>
      </c>
      <c r="D17" s="24" t="str">
        <f>IFERROR(INDEX(Requerimientos!$G:$G,MATCH($A17,Requerimientos!$A:$A,0)),"")</f>
        <v>Alta</v>
      </c>
      <c r="E17" s="24" t="str">
        <f>IFERROR(INDEX(Requerimientos!$H:$H,MATCH($A17,Requerimientos!$A:$A,0)),"")</f>
        <v>Lab 5</v>
      </c>
      <c r="F17" s="24" t="str">
        <f>IFERROR(INDEX(Requerimientos!$K:$K,MATCH($A17,Requerimientos!$A:$A,0)),"")</f>
        <v>Pendiente</v>
      </c>
      <c r="G17" s="24" t="str">
        <f>IFERROR(INDEX(Requerimientos!$L:$L,MATCH($A17,Requerimientos!$A:$A,0)),"")</f>
        <v>Sí</v>
      </c>
      <c r="H17" s="24">
        <f>IFERROR(INDEX(Requerimientos!$M:$M,MATCH($A17,Requerimientos!$A:$A,0)),"")</f>
        <v>0</v>
      </c>
    </row>
    <row r="18" spans="1:8" ht="30" customHeight="1" outlineLevel="1" x14ac:dyDescent="0.25">
      <c r="A18" s="25" t="s">
        <v>162</v>
      </c>
      <c r="B18" s="3" t="str">
        <f>IFERROR(INDEX(Requerimientos!$E:$E,MATCH($A18,Requerimientos!$A:$A,0)),"")</f>
        <v>Registrar la ubicación del hotel y los lugares históricos cercanos</v>
      </c>
      <c r="C18" s="24" t="str">
        <f>IFERROR(INDEX(Requerimientos!$B:$B,MATCH($A18,Requerimientos!$A:$A,0)),"")</f>
        <v>M3 Catálogo</v>
      </c>
      <c r="D18" s="24" t="str">
        <f>IFERROR(INDEX(Requerimientos!$G:$G,MATCH($A18,Requerimientos!$A:$A,0)),"")</f>
        <v>Alta</v>
      </c>
      <c r="E18" s="24" t="str">
        <f>IFERROR(INDEX(Requerimientos!$H:$H,MATCH($A18,Requerimientos!$A:$A,0)),"")</f>
        <v>Lab 6</v>
      </c>
      <c r="F18" s="24" t="str">
        <f>IFERROR(INDEX(Requerimientos!$K:$K,MATCH($A18,Requerimientos!$A:$A,0)),"")</f>
        <v>Pendiente</v>
      </c>
      <c r="G18" s="24" t="str">
        <f>IFERROR(INDEX(Requerimientos!$L:$L,MATCH($A18,Requerimientos!$A:$A,0)),"")</f>
        <v>No</v>
      </c>
      <c r="H18" s="24">
        <f>IFERROR(INDEX(Requerimientos!$M:$M,MATCH($A18,Requerimientos!$A:$A,0)),"")</f>
        <v>0</v>
      </c>
    </row>
    <row r="19" spans="1:8" ht="30" customHeight="1" outlineLevel="1" x14ac:dyDescent="0.25">
      <c r="A19" s="25" t="s">
        <v>166</v>
      </c>
      <c r="B19" s="3" t="str">
        <f>IFERROR(INDEX(Requerimientos!$E:$E,MATCH($A19,Requerimientos!$A:$A,0)),"")</f>
        <v>Responder los chats de clientes con reserva activa</v>
      </c>
      <c r="C19" s="24" t="str">
        <f>IFERROR(INDEX(Requerimientos!$B:$B,MATCH($A19,Requerimientos!$A:$A,0)),"")</f>
        <v>M7 Chat</v>
      </c>
      <c r="D19" s="24" t="str">
        <f>IFERROR(INDEX(Requerimientos!$G:$G,MATCH($A19,Requerimientos!$A:$A,0)),"")</f>
        <v>Alta</v>
      </c>
      <c r="E19" s="24" t="str">
        <f>IFERROR(INDEX(Requerimientos!$H:$H,MATCH($A19,Requerimientos!$A:$A,0)),"")</f>
        <v>Lab 6</v>
      </c>
      <c r="F19" s="24" t="str">
        <f>IFERROR(INDEX(Requerimientos!$K:$K,MATCH($A19,Requerimientos!$A:$A,0)),"")</f>
        <v>Pendiente</v>
      </c>
      <c r="G19" s="24" t="str">
        <f>IFERROR(INDEX(Requerimientos!$L:$L,MATCH($A19,Requerimientos!$A:$A,0)),"")</f>
        <v>Sí</v>
      </c>
      <c r="H19" s="24">
        <f>IFERROR(INDEX(Requerimientos!$M:$M,MATCH($A19,Requerimientos!$A:$A,0)),"")</f>
        <v>0</v>
      </c>
    </row>
    <row r="20" spans="1:8" ht="30" customHeight="1" outlineLevel="1" x14ac:dyDescent="0.25">
      <c r="A20" s="25" t="s">
        <v>170</v>
      </c>
      <c r="B20" s="3" t="str">
        <f>IFERROR(INDEX(Requerimientos!$E:$E,MATCH($A20,Requerimientos!$A:$A,0)),"")</f>
        <v>Añadir cobros adicionales por daños con monto motivo y observación</v>
      </c>
      <c r="C20" s="24" t="str">
        <f>IFERROR(INDEX(Requerimientos!$B:$B,MATCH($A20,Requerimientos!$A:$A,0)),"")</f>
        <v>M5 Pagos y cobros</v>
      </c>
      <c r="D20" s="24" t="str">
        <f>IFERROR(INDEX(Requerimientos!$G:$G,MATCH($A20,Requerimientos!$A:$A,0)),"")</f>
        <v>Media</v>
      </c>
      <c r="E20" s="24" t="str">
        <f>IFERROR(INDEX(Requerimientos!$H:$H,MATCH($A20,Requerimientos!$A:$A,0)),"")</f>
        <v>Lab 6</v>
      </c>
      <c r="F20" s="24" t="str">
        <f>IFERROR(INDEX(Requerimientos!$K:$K,MATCH($A20,Requerimientos!$A:$A,0)),"")</f>
        <v>Pendiente</v>
      </c>
      <c r="G20" s="24" t="str">
        <f>IFERROR(INDEX(Requerimientos!$L:$L,MATCH($A20,Requerimientos!$A:$A,0)),"")</f>
        <v>Sí</v>
      </c>
      <c r="H20" s="24">
        <f>IFERROR(INDEX(Requerimientos!$M:$M,MATCH($A20,Requerimientos!$A:$A,0)),"")</f>
        <v>0</v>
      </c>
    </row>
    <row r="21" spans="1:8" ht="30" customHeight="1" outlineLevel="1" x14ac:dyDescent="0.25">
      <c r="A21" s="25" t="s">
        <v>173</v>
      </c>
      <c r="B21" s="3" t="str">
        <f>IFERROR(INDEX(Requerimientos!$E:$E,MATCH($A21,Requerimientos!$A:$A,0)),"")</f>
        <v>Ver el estado del taxista asignado en camino a recoger y llegó al destino</v>
      </c>
      <c r="C21" s="24" t="str">
        <f>IFERROR(INDEX(Requerimientos!$B:$B,MATCH($A21,Requerimientos!$A:$A,0)),"")</f>
        <v>M8 Taxi</v>
      </c>
      <c r="D21" s="24" t="str">
        <f>IFERROR(INDEX(Requerimientos!$G:$G,MATCH($A21,Requerimientos!$A:$A,0)),"")</f>
        <v>Media</v>
      </c>
      <c r="E21" s="24" t="str">
        <f>IFERROR(INDEX(Requerimientos!$H:$H,MATCH($A21,Requerimientos!$A:$A,0)),"")</f>
        <v>Lab 7</v>
      </c>
      <c r="F21" s="24" t="str">
        <f>IFERROR(INDEX(Requerimientos!$K:$K,MATCH($A21,Requerimientos!$A:$A,0)),"")</f>
        <v>Pendiente</v>
      </c>
      <c r="G21" s="24" t="str">
        <f>IFERROR(INDEX(Requerimientos!$L:$L,MATCH($A21,Requerimientos!$A:$A,0)),"")</f>
        <v>Sí</v>
      </c>
      <c r="H21" s="24">
        <f>IFERROR(INDEX(Requerimientos!$M:$M,MATCH($A21,Requerimientos!$A:$A,0)),"")</f>
        <v>0</v>
      </c>
    </row>
    <row r="22" spans="1:8" ht="30" customHeight="1" outlineLevel="1" x14ac:dyDescent="0.25">
      <c r="A22" s="25" t="s">
        <v>177</v>
      </c>
      <c r="B22" s="3" t="str">
        <f>IFERROR(INDEX(Requerimientos!$E:$E,MATCH($A22,Requerimientos!$A:$A,0)),"")</f>
        <v>Reporte de ingresos por servicios adicionales ordenado de menor a mayor</v>
      </c>
      <c r="C22" s="24" t="str">
        <f>IFERROR(INDEX(Requerimientos!$B:$B,MATCH($A22,Requerimientos!$A:$A,0)),"")</f>
        <v>M9 Reportes y logs</v>
      </c>
      <c r="D22" s="24" t="str">
        <f>IFERROR(INDEX(Requerimientos!$G:$G,MATCH($A22,Requerimientos!$A:$A,0)),"")</f>
        <v>Media</v>
      </c>
      <c r="E22" s="24" t="str">
        <f>IFERROR(INDEX(Requerimientos!$H:$H,MATCH($A22,Requerimientos!$A:$A,0)),"")</f>
        <v>Lab 7</v>
      </c>
      <c r="F22" s="24" t="str">
        <f>IFERROR(INDEX(Requerimientos!$K:$K,MATCH($A22,Requerimientos!$A:$A,0)),"")</f>
        <v>Pendiente</v>
      </c>
      <c r="G22" s="24" t="str">
        <f>IFERROR(INDEX(Requerimientos!$L:$L,MATCH($A22,Requerimientos!$A:$A,0)),"")</f>
        <v>Parcial</v>
      </c>
      <c r="H22" s="24">
        <f>IFERROR(INDEX(Requerimientos!$M:$M,MATCH($A22,Requerimientos!$A:$A,0)),"")</f>
        <v>0</v>
      </c>
    </row>
    <row r="24" spans="1:8" ht="21.95" customHeight="1" x14ac:dyDescent="0.25">
      <c r="A24" s="28" t="s">
        <v>285</v>
      </c>
      <c r="B24" s="29"/>
      <c r="C24" s="29"/>
      <c r="D24" s="29"/>
      <c r="E24" s="29"/>
      <c r="F24" s="29"/>
      <c r="G24" s="29"/>
      <c r="H24" s="29"/>
    </row>
    <row r="25" spans="1:8" ht="30" customHeight="1" outlineLevel="1" x14ac:dyDescent="0.25">
      <c r="A25" s="25" t="s">
        <v>182</v>
      </c>
      <c r="B25" s="3" t="str">
        <f>IFERROR(INDEX(Requerimientos!$E:$E,MATCH($A25,Requerimientos!$A:$A,0)),"")</f>
        <v>Acceder a la app móvil una vez habilitado</v>
      </c>
      <c r="C25" s="24" t="str">
        <f>IFERROR(INDEX(Requerimientos!$B:$B,MATCH($A25,Requerimientos!$A:$A,0)),"")</f>
        <v>M1 Autenticación</v>
      </c>
      <c r="D25" s="24" t="str">
        <f>IFERROR(INDEX(Requerimientos!$G:$G,MATCH($A25,Requerimientos!$A:$A,0)),"")</f>
        <v>Alta</v>
      </c>
      <c r="E25" s="24" t="str">
        <f>IFERROR(INDEX(Requerimientos!$H:$H,MATCH($A25,Requerimientos!$A:$A,0)),"")</f>
        <v>Lab 6</v>
      </c>
      <c r="F25" s="24" t="str">
        <f>IFERROR(INDEX(Requerimientos!$K:$K,MATCH($A25,Requerimientos!$A:$A,0)),"")</f>
        <v>Pendiente</v>
      </c>
      <c r="G25" s="24" t="str">
        <f>IFERROR(INDEX(Requerimientos!$L:$L,MATCH($A25,Requerimientos!$A:$A,0)),"")</f>
        <v>No</v>
      </c>
      <c r="H25" s="24">
        <f>IFERROR(INDEX(Requerimientos!$M:$M,MATCH($A25,Requerimientos!$A:$A,0)),"")</f>
        <v>0</v>
      </c>
    </row>
    <row r="26" spans="1:8" ht="30" customHeight="1" outlineLevel="1" x14ac:dyDescent="0.25">
      <c r="A26" s="25" t="s">
        <v>185</v>
      </c>
      <c r="B26" s="3" t="str">
        <f>IFERROR(INDEX(Requerimientos!$E:$E,MATCH($A26,Requerimientos!$A:$A,0)),"")</f>
        <v>Ver hoteles y pedidos disponibles</v>
      </c>
      <c r="C26" s="24" t="str">
        <f>IFERROR(INDEX(Requerimientos!$B:$B,MATCH($A26,Requerimientos!$A:$A,0)),"")</f>
        <v>M8 Taxi</v>
      </c>
      <c r="D26" s="24" t="str">
        <f>IFERROR(INDEX(Requerimientos!$G:$G,MATCH($A26,Requerimientos!$A:$A,0)),"")</f>
        <v>Alta</v>
      </c>
      <c r="E26" s="24" t="str">
        <f>IFERROR(INDEX(Requerimientos!$H:$H,MATCH($A26,Requerimientos!$A:$A,0)),"")</f>
        <v>Lab 7</v>
      </c>
      <c r="F26" s="24" t="str">
        <f>IFERROR(INDEX(Requerimientos!$K:$K,MATCH($A26,Requerimientos!$A:$A,0)),"")</f>
        <v>Pendiente</v>
      </c>
      <c r="G26" s="24" t="str">
        <f>IFERROR(INDEX(Requerimientos!$L:$L,MATCH($A26,Requerimientos!$A:$A,0)),"")</f>
        <v>No</v>
      </c>
      <c r="H26" s="24">
        <f>IFERROR(INDEX(Requerimientos!$M:$M,MATCH($A26,Requerimientos!$A:$A,0)),"")</f>
        <v>0</v>
      </c>
    </row>
    <row r="27" spans="1:8" ht="30" customHeight="1" outlineLevel="1" x14ac:dyDescent="0.25">
      <c r="A27" s="25" t="s">
        <v>189</v>
      </c>
      <c r="B27" s="3" t="str">
        <f>IFERROR(INDEX(Requerimientos!$E:$E,MATCH($A27,Requerimientos!$A:$A,0)),"")</f>
        <v>Aceptar un pedido que deja de estar disponible para los demás</v>
      </c>
      <c r="C27" s="24" t="str">
        <f>IFERROR(INDEX(Requerimientos!$B:$B,MATCH($A27,Requerimientos!$A:$A,0)),"")</f>
        <v>M8 Taxi</v>
      </c>
      <c r="D27" s="24" t="str">
        <f>IFERROR(INDEX(Requerimientos!$G:$G,MATCH($A27,Requerimientos!$A:$A,0)),"")</f>
        <v>Alta</v>
      </c>
      <c r="E27" s="24" t="str">
        <f>IFERROR(INDEX(Requerimientos!$H:$H,MATCH($A27,Requerimientos!$A:$A,0)),"")</f>
        <v>Lab 7</v>
      </c>
      <c r="F27" s="24" t="str">
        <f>IFERROR(INDEX(Requerimientos!$K:$K,MATCH($A27,Requerimientos!$A:$A,0)),"")</f>
        <v>Pendiente</v>
      </c>
      <c r="G27" s="24" t="str">
        <f>IFERROR(INDEX(Requerimientos!$L:$L,MATCH($A27,Requerimientos!$A:$A,0)),"")</f>
        <v>No</v>
      </c>
      <c r="H27" s="24">
        <f>IFERROR(INDEX(Requerimientos!$M:$M,MATCH($A27,Requerimientos!$A:$A,0)),"")</f>
        <v>0</v>
      </c>
    </row>
    <row r="28" spans="1:8" ht="30" customHeight="1" outlineLevel="1" x14ac:dyDescent="0.25">
      <c r="A28" s="25" t="s">
        <v>193</v>
      </c>
      <c r="B28" s="3" t="str">
        <f>IFERROR(INDEX(Requerimientos!$E:$E,MATCH($A28,Requerimientos!$A:$A,0)),"")</f>
        <v>Registrar automáticamente su ubicación durante el servicio activo</v>
      </c>
      <c r="C28" s="24" t="str">
        <f>IFERROR(INDEX(Requerimientos!$B:$B,MATCH($A28,Requerimientos!$A:$A,0)),"")</f>
        <v>M8 Taxi</v>
      </c>
      <c r="D28" s="24" t="str">
        <f>IFERROR(INDEX(Requerimientos!$G:$G,MATCH($A28,Requerimientos!$A:$A,0)),"")</f>
        <v>Alta</v>
      </c>
      <c r="E28" s="24" t="str">
        <f>IFERROR(INDEX(Requerimientos!$H:$H,MATCH($A28,Requerimientos!$A:$A,0)),"")</f>
        <v>Lab 7</v>
      </c>
      <c r="F28" s="24" t="str">
        <f>IFERROR(INDEX(Requerimientos!$K:$K,MATCH($A28,Requerimientos!$A:$A,0)),"")</f>
        <v>Pendiente</v>
      </c>
      <c r="G28" s="24" t="str">
        <f>IFERROR(INDEX(Requerimientos!$L:$L,MATCH($A28,Requerimientos!$A:$A,0)),"")</f>
        <v>No</v>
      </c>
      <c r="H28" s="24">
        <f>IFERROR(INDEX(Requerimientos!$M:$M,MATCH($A28,Requerimientos!$A:$A,0)),"")</f>
        <v>0</v>
      </c>
    </row>
    <row r="29" spans="1:8" ht="30" customHeight="1" outlineLevel="1" x14ac:dyDescent="0.25">
      <c r="A29" s="25" t="s">
        <v>176</v>
      </c>
      <c r="B29" s="3" t="str">
        <f>IFERROR(INDEX(Requerimientos!$E:$E,MATCH($A29,Requerimientos!$A:$A,0)),"")</f>
        <v>Actualizar los estados del servicio</v>
      </c>
      <c r="C29" s="24" t="str">
        <f>IFERROR(INDEX(Requerimientos!$B:$B,MATCH($A29,Requerimientos!$A:$A,0)),"")</f>
        <v>M8 Taxi</v>
      </c>
      <c r="D29" s="24" t="str">
        <f>IFERROR(INDEX(Requerimientos!$G:$G,MATCH($A29,Requerimientos!$A:$A,0)),"")</f>
        <v>Alta</v>
      </c>
      <c r="E29" s="24" t="str">
        <f>IFERROR(INDEX(Requerimientos!$H:$H,MATCH($A29,Requerimientos!$A:$A,0)),"")</f>
        <v>Lab 7</v>
      </c>
      <c r="F29" s="24" t="str">
        <f>IFERROR(INDEX(Requerimientos!$K:$K,MATCH($A29,Requerimientos!$A:$A,0)),"")</f>
        <v>Pendiente</v>
      </c>
      <c r="G29" s="24" t="str">
        <f>IFERROR(INDEX(Requerimientos!$L:$L,MATCH($A29,Requerimientos!$A:$A,0)),"")</f>
        <v>No</v>
      </c>
      <c r="H29" s="24">
        <f>IFERROR(INDEX(Requerimientos!$M:$M,MATCH($A29,Requerimientos!$A:$A,0)),"")</f>
        <v>0</v>
      </c>
    </row>
    <row r="30" spans="1:8" ht="30" customHeight="1" outlineLevel="1" x14ac:dyDescent="0.25">
      <c r="A30" s="25" t="s">
        <v>198</v>
      </c>
      <c r="B30" s="3" t="str">
        <f>IFERROR(INDEX(Requerimientos!$E:$E,MATCH($A30,Requerimientos!$A:$A,0)),"")</f>
        <v>Registrar FINALIZADO únicamente escaneando el QR del cliente</v>
      </c>
      <c r="C30" s="24" t="str">
        <f>IFERROR(INDEX(Requerimientos!$B:$B,MATCH($A30,Requerimientos!$A:$A,0)),"")</f>
        <v>M8 Taxi</v>
      </c>
      <c r="D30" s="24" t="str">
        <f>IFERROR(INDEX(Requerimientos!$G:$G,MATCH($A30,Requerimientos!$A:$A,0)),"")</f>
        <v>Alta</v>
      </c>
      <c r="E30" s="24" t="str">
        <f>IFERROR(INDEX(Requerimientos!$H:$H,MATCH($A30,Requerimientos!$A:$A,0)),"")</f>
        <v>Lab 7</v>
      </c>
      <c r="F30" s="24" t="str">
        <f>IFERROR(INDEX(Requerimientos!$K:$K,MATCH($A30,Requerimientos!$A:$A,0)),"")</f>
        <v>Pendiente</v>
      </c>
      <c r="G30" s="24" t="str">
        <f>IFERROR(INDEX(Requerimientos!$L:$L,MATCH($A30,Requerimientos!$A:$A,0)),"")</f>
        <v>No</v>
      </c>
      <c r="H30" s="24">
        <f>IFERROR(INDEX(Requerimientos!$M:$M,MATCH($A30,Requerimientos!$A:$A,0)),"")</f>
        <v>0</v>
      </c>
    </row>
    <row r="31" spans="1:8" ht="30" customHeight="1" outlineLevel="1" x14ac:dyDescent="0.25">
      <c r="A31" s="25" t="s">
        <v>144</v>
      </c>
      <c r="B31" s="3" t="str">
        <f>IFERROR(INDEX(Requerimientos!$E:$E,MATCH($A31,Requerimientos!$A:$A,0)),"")</f>
        <v>Autoregistrarse en la app web con todos sus datos y fotos</v>
      </c>
      <c r="C31" s="24" t="str">
        <f>IFERROR(INDEX(Requerimientos!$B:$B,MATCH($A31,Requerimientos!$A:$A,0)),"")</f>
        <v>M1 Autenticación</v>
      </c>
      <c r="D31" s="24" t="str">
        <f>IFERROR(INDEX(Requerimientos!$G:$G,MATCH($A31,Requerimientos!$A:$A,0)),"")</f>
        <v>Alta</v>
      </c>
      <c r="E31" s="24" t="str">
        <f>IFERROR(INDEX(Requerimientos!$H:$H,MATCH($A31,Requerimientos!$A:$A,0)),"")</f>
        <v>Final</v>
      </c>
      <c r="F31" s="24" t="str">
        <f>IFERROR(INDEX(Requerimientos!$K:$K,MATCH($A31,Requerimientos!$A:$A,0)),"")</f>
        <v>Pendiente</v>
      </c>
      <c r="G31" s="24" t="str">
        <f>IFERROR(INDEX(Requerimientos!$L:$L,MATCH($A31,Requerimientos!$A:$A,0)),"")</f>
        <v>No</v>
      </c>
      <c r="H31" s="24">
        <f>IFERROR(INDEX(Requerimientos!$M:$M,MATCH($A31,Requerimientos!$A:$A,0)),"")</f>
        <v>0</v>
      </c>
    </row>
    <row r="33" spans="1:8" ht="21.95" customHeight="1" x14ac:dyDescent="0.25">
      <c r="A33" s="28" t="s">
        <v>286</v>
      </c>
      <c r="B33" s="29"/>
      <c r="C33" s="29"/>
      <c r="D33" s="29"/>
      <c r="E33" s="29"/>
      <c r="F33" s="29"/>
      <c r="G33" s="29"/>
      <c r="H33" s="29"/>
    </row>
    <row r="34" spans="1:8" ht="30" customHeight="1" outlineLevel="1" x14ac:dyDescent="0.25">
      <c r="A34" s="25" t="s">
        <v>205</v>
      </c>
      <c r="B34" s="3" t="str">
        <f>IFERROR(INDEX(Requerimientos!$E:$E,MATCH($A34,Requerimientos!$A:$A,0)),"")</f>
        <v>Consultar hoteles habitaciones servicios disponibilidad y valoraciones</v>
      </c>
      <c r="C34" s="24" t="str">
        <f>IFERROR(INDEX(Requerimientos!$B:$B,MATCH($A34,Requerimientos!$A:$A,0)),"")</f>
        <v>M3 Catálogo</v>
      </c>
      <c r="D34" s="24" t="str">
        <f>IFERROR(INDEX(Requerimientos!$G:$G,MATCH($A34,Requerimientos!$A:$A,0)),"")</f>
        <v>Alta</v>
      </c>
      <c r="E34" s="24" t="str">
        <f>IFERROR(INDEX(Requerimientos!$H:$H,MATCH($A34,Requerimientos!$A:$A,0)),"")</f>
        <v>Lab 4</v>
      </c>
      <c r="F34" s="24" t="str">
        <f>IFERROR(INDEX(Requerimientos!$K:$K,MATCH($A34,Requerimientos!$A:$A,0)),"")</f>
        <v>Pendiente</v>
      </c>
      <c r="G34" s="24" t="str">
        <f>IFERROR(INDEX(Requerimientos!$L:$L,MATCH($A34,Requerimientos!$A:$A,0)),"")</f>
        <v>Sí</v>
      </c>
      <c r="H34" s="24">
        <f>IFERROR(INDEX(Requerimientos!$M:$M,MATCH($A34,Requerimientos!$A:$A,0)),"")</f>
        <v>0</v>
      </c>
    </row>
    <row r="35" spans="1:8" ht="30" customHeight="1" outlineLevel="1" x14ac:dyDescent="0.25">
      <c r="A35" s="25" t="s">
        <v>208</v>
      </c>
      <c r="B35" s="3" t="str">
        <f>IFERROR(INDEX(Requerimientos!$E:$E,MATCH($A35,Requerimientos!$A:$A,0)),"")</f>
        <v>Ver el historial de sus reservas</v>
      </c>
      <c r="C35" s="24" t="str">
        <f>IFERROR(INDEX(Requerimientos!$B:$B,MATCH($A35,Requerimientos!$A:$A,0)),"")</f>
        <v>M4 Reservas</v>
      </c>
      <c r="D35" s="24" t="str">
        <f>IFERROR(INDEX(Requerimientos!$G:$G,MATCH($A35,Requerimientos!$A:$A,0)),"")</f>
        <v>Media</v>
      </c>
      <c r="E35" s="24" t="str">
        <f>IFERROR(INDEX(Requerimientos!$H:$H,MATCH($A35,Requerimientos!$A:$A,0)),"")</f>
        <v>Lab 4</v>
      </c>
      <c r="F35" s="24" t="str">
        <f>IFERROR(INDEX(Requerimientos!$K:$K,MATCH($A35,Requerimientos!$A:$A,0)),"")</f>
        <v>Pendiente</v>
      </c>
      <c r="G35" s="24" t="str">
        <f>IFERROR(INDEX(Requerimientos!$L:$L,MATCH($A35,Requerimientos!$A:$A,0)),"")</f>
        <v>Sí</v>
      </c>
      <c r="H35" s="24">
        <f>IFERROR(INDEX(Requerimientos!$M:$M,MATCH($A35,Requerimientos!$A:$A,0)),"")</f>
        <v>0</v>
      </c>
    </row>
    <row r="36" spans="1:8" ht="30" customHeight="1" outlineLevel="1" x14ac:dyDescent="0.25">
      <c r="A36" s="25" t="s">
        <v>211</v>
      </c>
      <c r="B36" s="3" t="str">
        <f>IFERROR(INDEX(Requerimientos!$E:$E,MATCH($A36,Requerimientos!$A:$A,0)),"")</f>
        <v>Recibir notificación cuando se le hace el cobro</v>
      </c>
      <c r="C36" s="24" t="str">
        <f>IFERROR(INDEX(Requerimientos!$B:$B,MATCH($A36,Requerimientos!$A:$A,0)),"")</f>
        <v>M5 Pagos y cobros</v>
      </c>
      <c r="D36" s="24" t="str">
        <f>IFERROR(INDEX(Requerimientos!$G:$G,MATCH($A36,Requerimientos!$A:$A,0)),"")</f>
        <v>Alta</v>
      </c>
      <c r="E36" s="24" t="str">
        <f>IFERROR(INDEX(Requerimientos!$H:$H,MATCH($A36,Requerimientos!$A:$A,0)),"")</f>
        <v>Lab 5</v>
      </c>
      <c r="F36" s="24" t="str">
        <f>IFERROR(INDEX(Requerimientos!$K:$K,MATCH($A36,Requerimientos!$A:$A,0)),"")</f>
        <v>Pendiente</v>
      </c>
      <c r="G36" s="24" t="str">
        <f>IFERROR(INDEX(Requerimientos!$L:$L,MATCH($A36,Requerimientos!$A:$A,0)),"")</f>
        <v>Parcial</v>
      </c>
      <c r="H36" s="24">
        <f>IFERROR(INDEX(Requerimientos!$M:$M,MATCH($A36,Requerimientos!$A:$A,0)),"")</f>
        <v>0</v>
      </c>
    </row>
    <row r="37" spans="1:8" ht="30" customHeight="1" outlineLevel="1" x14ac:dyDescent="0.25">
      <c r="A37" s="25" t="s">
        <v>215</v>
      </c>
      <c r="B37" s="3" t="str">
        <f>IFERROR(INDEX(Requerimientos!$E:$E,MATCH($A37,Requerimientos!$A:$A,0)),"")</f>
        <v>Autoregistrarse y quedar habilitado automáticamente</v>
      </c>
      <c r="C37" s="24" t="str">
        <f>IFERROR(INDEX(Requerimientos!$B:$B,MATCH($A37,Requerimientos!$A:$A,0)),"")</f>
        <v>M1 Autenticación</v>
      </c>
      <c r="D37" s="24" t="str">
        <f>IFERROR(INDEX(Requerimientos!$G:$G,MATCH($A37,Requerimientos!$A:$A,0)),"")</f>
        <v>Alta</v>
      </c>
      <c r="E37" s="24" t="str">
        <f>IFERROR(INDEX(Requerimientos!$H:$H,MATCH($A37,Requerimientos!$A:$A,0)),"")</f>
        <v>Lab 6</v>
      </c>
      <c r="F37" s="24" t="str">
        <f>IFERROR(INDEX(Requerimientos!$K:$K,MATCH($A37,Requerimientos!$A:$A,0)),"")</f>
        <v>Pendiente</v>
      </c>
      <c r="G37" s="24" t="str">
        <f>IFERROR(INDEX(Requerimientos!$L:$L,MATCH($A37,Requerimientos!$A:$A,0)),"")</f>
        <v>Parcial</v>
      </c>
      <c r="H37" s="24">
        <f>IFERROR(INDEX(Requerimientos!$M:$M,MATCH($A37,Requerimientos!$A:$A,0)),"")</f>
        <v>0</v>
      </c>
    </row>
    <row r="38" spans="1:8" ht="30" customHeight="1" outlineLevel="1" x14ac:dyDescent="0.25">
      <c r="A38" s="25" t="s">
        <v>135</v>
      </c>
      <c r="B38" s="3" t="str">
        <f>IFERROR(INDEX(Requerimientos!$E:$E,MATCH($A38,Requerimientos!$A:$A,0)),"")</f>
        <v>Reservar con tarjeta de crédito o débito simulada</v>
      </c>
      <c r="C38" s="24" t="str">
        <f>IFERROR(INDEX(Requerimientos!$B:$B,MATCH($A38,Requerimientos!$A:$A,0)),"")</f>
        <v>M4 Reservas</v>
      </c>
      <c r="D38" s="24" t="str">
        <f>IFERROR(INDEX(Requerimientos!$G:$G,MATCH($A38,Requerimientos!$A:$A,0)),"")</f>
        <v>Alta</v>
      </c>
      <c r="E38" s="24" t="str">
        <f>IFERROR(INDEX(Requerimientos!$H:$H,MATCH($A38,Requerimientos!$A:$A,0)),"")</f>
        <v>Lab 6</v>
      </c>
      <c r="F38" s="24" t="str">
        <f>IFERROR(INDEX(Requerimientos!$K:$K,MATCH($A38,Requerimientos!$A:$A,0)),"")</f>
        <v>Pendiente</v>
      </c>
      <c r="G38" s="24" t="str">
        <f>IFERROR(INDEX(Requerimientos!$L:$L,MATCH($A38,Requerimientos!$A:$A,0)),"")</f>
        <v>Sí</v>
      </c>
      <c r="H38" s="24">
        <f>IFERROR(INDEX(Requerimientos!$M:$M,MATCH($A38,Requerimientos!$A:$A,0)),"")</f>
        <v>0</v>
      </c>
    </row>
    <row r="39" spans="1:8" ht="30" customHeight="1" outlineLevel="1" x14ac:dyDescent="0.25">
      <c r="A39" s="25" t="s">
        <v>161</v>
      </c>
      <c r="B39" s="3" t="str">
        <f>IFERROR(INDEX(Requerimientos!$E:$E,MATCH($A39,Requerimientos!$A:$A,0)),"")</f>
        <v>Hacer checkout y registrar valoración y observaciones obligatorias</v>
      </c>
      <c r="C39" s="24" t="str">
        <f>IFERROR(INDEX(Requerimientos!$B:$B,MATCH($A39,Requerimientos!$A:$A,0)),"")</f>
        <v>M6 Checkout y valoraciones</v>
      </c>
      <c r="D39" s="24" t="str">
        <f>IFERROR(INDEX(Requerimientos!$G:$G,MATCH($A39,Requerimientos!$A:$A,0)),"")</f>
        <v>Alta</v>
      </c>
      <c r="E39" s="24" t="str">
        <f>IFERROR(INDEX(Requerimientos!$H:$H,MATCH($A39,Requerimientos!$A:$A,0)),"")</f>
        <v>Lab 6</v>
      </c>
      <c r="F39" s="24" t="str">
        <f>IFERROR(INDEX(Requerimientos!$K:$K,MATCH($A39,Requerimientos!$A:$A,0)),"")</f>
        <v>Pendiente</v>
      </c>
      <c r="G39" s="24" t="str">
        <f>IFERROR(INDEX(Requerimientos!$L:$L,MATCH($A39,Requerimientos!$A:$A,0)),"")</f>
        <v>Sí</v>
      </c>
      <c r="H39" s="24">
        <f>IFERROR(INDEX(Requerimientos!$M:$M,MATCH($A39,Requerimientos!$A:$A,0)),"")</f>
        <v>0</v>
      </c>
    </row>
    <row r="40" spans="1:8" ht="30" customHeight="1" outlineLevel="1" x14ac:dyDescent="0.25">
      <c r="A40" s="25" t="s">
        <v>169</v>
      </c>
      <c r="B40" s="3" t="str">
        <f>IFERROR(INDEX(Requerimientos!$E:$E,MATCH($A40,Requerimientos!$A:$A,0)),"")</f>
        <v>Chat privado con el hotel entre la confirmación de la reserva y el fin del checkout</v>
      </c>
      <c r="C40" s="24" t="str">
        <f>IFERROR(INDEX(Requerimientos!$B:$B,MATCH($A40,Requerimientos!$A:$A,0)),"")</f>
        <v>M7 Chat</v>
      </c>
      <c r="D40" s="24" t="str">
        <f>IFERROR(INDEX(Requerimientos!$G:$G,MATCH($A40,Requerimientos!$A:$A,0)),"")</f>
        <v>Alta</v>
      </c>
      <c r="E40" s="24" t="str">
        <f>IFERROR(INDEX(Requerimientos!$H:$H,MATCH($A40,Requerimientos!$A:$A,0)),"")</f>
        <v>Lab 6</v>
      </c>
      <c r="F40" s="24" t="str">
        <f>IFERROR(INDEX(Requerimientos!$K:$K,MATCH($A40,Requerimientos!$A:$A,0)),"")</f>
        <v>Pendiente</v>
      </c>
      <c r="G40" s="24" t="str">
        <f>IFERROR(INDEX(Requerimientos!$L:$L,MATCH($A40,Requerimientos!$A:$A,0)),"")</f>
        <v>Parcial</v>
      </c>
      <c r="H40" s="24">
        <f>IFERROR(INDEX(Requerimientos!$M:$M,MATCH($A40,Requerimientos!$A:$A,0)),"")</f>
        <v>0</v>
      </c>
    </row>
    <row r="41" spans="1:8" ht="30" customHeight="1" outlineLevel="1" x14ac:dyDescent="0.25">
      <c r="A41" s="25" t="s">
        <v>188</v>
      </c>
      <c r="B41" s="3" t="str">
        <f>IFERROR(INDEX(Requerimientos!$E:$E,MATCH($A41,Requerimientos!$A:$A,0)),"")</f>
        <v>Solicitar el taxi gratuito al aeropuerto si la reserva alcanza el monto mínimo</v>
      </c>
      <c r="C41" s="24" t="str">
        <f>IFERROR(INDEX(Requerimientos!$B:$B,MATCH($A41,Requerimientos!$A:$A,0)),"")</f>
        <v>M8 Taxi</v>
      </c>
      <c r="D41" s="24" t="str">
        <f>IFERROR(INDEX(Requerimientos!$G:$G,MATCH($A41,Requerimientos!$A:$A,0)),"")</f>
        <v>Alta</v>
      </c>
      <c r="E41" s="24" t="str">
        <f>IFERROR(INDEX(Requerimientos!$H:$H,MATCH($A41,Requerimientos!$A:$A,0)),"")</f>
        <v>Lab 7</v>
      </c>
      <c r="F41" s="24" t="str">
        <f>IFERROR(INDEX(Requerimientos!$K:$K,MATCH($A41,Requerimientos!$A:$A,0)),"")</f>
        <v>Pendiente</v>
      </c>
      <c r="G41" s="24" t="str">
        <f>IFERROR(INDEX(Requerimientos!$L:$L,MATCH($A41,Requerimientos!$A:$A,0)),"")</f>
        <v>No</v>
      </c>
      <c r="H41" s="24">
        <f>IFERROR(INDEX(Requerimientos!$M:$M,MATCH($A41,Requerimientos!$A:$A,0)),"")</f>
        <v>0</v>
      </c>
    </row>
    <row r="42" spans="1:8" ht="30" customHeight="1" outlineLevel="1" x14ac:dyDescent="0.25">
      <c r="A42" s="25" t="s">
        <v>228</v>
      </c>
      <c r="B42" s="3" t="str">
        <f>IFERROR(INDEX(Requerimientos!$E:$E,MATCH($A42,Requerimientos!$A:$A,0)),"")</f>
        <v>Ver datos vehículo valoración y ubicación del taxista en un mapa</v>
      </c>
      <c r="C42" s="24" t="str">
        <f>IFERROR(INDEX(Requerimientos!$B:$B,MATCH($A42,Requerimientos!$A:$A,0)),"")</f>
        <v>M8 Taxi</v>
      </c>
      <c r="D42" s="24" t="str">
        <f>IFERROR(INDEX(Requerimientos!$G:$G,MATCH($A42,Requerimientos!$A:$A,0)),"")</f>
        <v>Alta</v>
      </c>
      <c r="E42" s="24" t="str">
        <f>IFERROR(INDEX(Requerimientos!$H:$H,MATCH($A42,Requerimientos!$A:$A,0)),"")</f>
        <v>Lab 7</v>
      </c>
      <c r="F42" s="24" t="str">
        <f>IFERROR(INDEX(Requerimientos!$K:$K,MATCH($A42,Requerimientos!$A:$A,0)),"")</f>
        <v>Pendiente</v>
      </c>
      <c r="G42" s="24" t="str">
        <f>IFERROR(INDEX(Requerimientos!$L:$L,MATCH($A42,Requerimientos!$A:$A,0)),"")</f>
        <v>No</v>
      </c>
      <c r="H42" s="24">
        <f>IFERROR(INDEX(Requerimientos!$M:$M,MATCH($A42,Requerimientos!$A:$A,0)),"")</f>
        <v>0</v>
      </c>
    </row>
    <row r="43" spans="1:8" ht="30" customHeight="1" outlineLevel="1" x14ac:dyDescent="0.25">
      <c r="A43" s="25" t="s">
        <v>201</v>
      </c>
      <c r="B43" s="3" t="str">
        <f>IFERROR(INDEX(Requerimientos!$E:$E,MATCH($A43,Requerimientos!$A:$A,0)),"")</f>
        <v>Recibir el QR del hotel y mostrarlo al llegar</v>
      </c>
      <c r="C43" s="24" t="str">
        <f>IFERROR(INDEX(Requerimientos!$B:$B,MATCH($A43,Requerimientos!$A:$A,0)),"")</f>
        <v>M8 Taxi</v>
      </c>
      <c r="D43" s="24" t="str">
        <f>IFERROR(INDEX(Requerimientos!$G:$G,MATCH($A43,Requerimientos!$A:$A,0)),"")</f>
        <v>Alta</v>
      </c>
      <c r="E43" s="24" t="str">
        <f>IFERROR(INDEX(Requerimientos!$H:$H,MATCH($A43,Requerimientos!$A:$A,0)),"")</f>
        <v>Lab 7</v>
      </c>
      <c r="F43" s="24" t="str">
        <f>IFERROR(INDEX(Requerimientos!$K:$K,MATCH($A43,Requerimientos!$A:$A,0)),"")</f>
        <v>Pendiente</v>
      </c>
      <c r="G43" s="24" t="str">
        <f>IFERROR(INDEX(Requerimientos!$L:$L,MATCH($A43,Requerimientos!$A:$A,0)),"")</f>
        <v>No</v>
      </c>
      <c r="H43" s="24">
        <f>IFERROR(INDEX(Requerimientos!$M:$M,MATCH($A43,Requerimientos!$A:$A,0)),"")</f>
        <v>0</v>
      </c>
    </row>
    <row r="44" spans="1:8" ht="30" customHeight="1" outlineLevel="1" x14ac:dyDescent="0.25">
      <c r="A44" s="25" t="s">
        <v>234</v>
      </c>
      <c r="B44" s="3" t="str">
        <f>IFERROR(INDEX(Requerimientos!$E:$E,MATCH($A44,Requerimientos!$A:$A,0)),"")</f>
        <v>Calificar al taxista al finalizar el servicio</v>
      </c>
      <c r="C44" s="24" t="str">
        <f>IFERROR(INDEX(Requerimientos!$B:$B,MATCH($A44,Requerimientos!$A:$A,0)),"")</f>
        <v>M8 Taxi</v>
      </c>
      <c r="D44" s="24" t="str">
        <f>IFERROR(INDEX(Requerimientos!$G:$G,MATCH($A44,Requerimientos!$A:$A,0)),"")</f>
        <v>Media</v>
      </c>
      <c r="E44" s="24" t="str">
        <f>IFERROR(INDEX(Requerimientos!$H:$H,MATCH($A44,Requerimientos!$A:$A,0)),"")</f>
        <v>Lab 7</v>
      </c>
      <c r="F44" s="24" t="str">
        <f>IFERROR(INDEX(Requerimientos!$K:$K,MATCH($A44,Requerimientos!$A:$A,0)),"")</f>
        <v>Pendiente</v>
      </c>
      <c r="G44" s="24" t="str">
        <f>IFERROR(INDEX(Requerimientos!$L:$L,MATCH($A44,Requerimientos!$A:$A,0)),"")</f>
        <v>No</v>
      </c>
      <c r="H44" s="24">
        <f>IFERROR(INDEX(Requerimientos!$M:$M,MATCH($A44,Requerimientos!$A:$A,0)),"")</f>
        <v>0</v>
      </c>
    </row>
    <row r="46" spans="1:8" ht="21.95" customHeight="1" x14ac:dyDescent="0.25">
      <c r="A46" s="28" t="s">
        <v>287</v>
      </c>
      <c r="B46" s="29"/>
      <c r="C46" s="29"/>
      <c r="D46" s="29"/>
      <c r="E46" s="29"/>
      <c r="F46" s="29"/>
      <c r="G46" s="29"/>
      <c r="H46" s="29"/>
    </row>
    <row r="47" spans="1:8" ht="30" customHeight="1" outlineLevel="1" x14ac:dyDescent="0.25">
      <c r="A47" s="25" t="s">
        <v>237</v>
      </c>
      <c r="B47" s="3" t="str">
        <f>IFERROR(INDEX(Requerimientos!$E:$E,MATCH($A47,Requerimientos!$A:$A,0)),"")</f>
        <v>La app móvil es Android nativa en Java con versión mínima Android 14 API 34</v>
      </c>
      <c r="C47" s="24" t="str">
        <f>IFERROR(INDEX(Requerimientos!$B:$B,MATCH($A47,Requerimientos!$A:$A,0)),"")</f>
        <v>M10 Calidad</v>
      </c>
      <c r="D47" s="24" t="str">
        <f>IFERROR(INDEX(Requerimientos!$G:$G,MATCH($A47,Requerimientos!$A:$A,0)),"")</f>
        <v>Alta</v>
      </c>
      <c r="E47" s="24" t="str">
        <f>IFERROR(INDEX(Requerimientos!$H:$H,MATCH($A47,Requerimientos!$A:$A,0)),"")</f>
        <v>Lab 3</v>
      </c>
      <c r="F47" s="24" t="str">
        <f>IFERROR(INDEX(Requerimientos!$K:$K,MATCH($A47,Requerimientos!$A:$A,0)),"")</f>
        <v>Pendiente</v>
      </c>
      <c r="G47" s="24" t="str">
        <f>IFERROR(INDEX(Requerimientos!$L:$L,MATCH($A47,Requerimientos!$A:$A,0)),"")</f>
        <v>NA</v>
      </c>
      <c r="H47" s="24">
        <f>IFERROR(INDEX(Requerimientos!$M:$M,MATCH($A47,Requerimientos!$A:$A,0)),"")</f>
        <v>0</v>
      </c>
    </row>
    <row r="48" spans="1:8" ht="30" customHeight="1" outlineLevel="1" x14ac:dyDescent="0.25">
      <c r="A48" s="25" t="s">
        <v>243</v>
      </c>
      <c r="B48" s="3" t="str">
        <f>IFERROR(INDEX(Requerimientos!$E:$E,MATCH($A48,Requerimientos!$A:$A,0)),"")</f>
        <v>Una habitación no puede tener reservas de distintos clientes con períodos superpuestos</v>
      </c>
      <c r="C48" s="24" t="str">
        <f>IFERROR(INDEX(Requerimientos!$B:$B,MATCH($A48,Requerimientos!$A:$A,0)),"")</f>
        <v>M4 Reservas</v>
      </c>
      <c r="D48" s="24" t="str">
        <f>IFERROR(INDEX(Requerimientos!$G:$G,MATCH($A48,Requerimientos!$A:$A,0)),"")</f>
        <v>Alta</v>
      </c>
      <c r="E48" s="24" t="str">
        <f>IFERROR(INDEX(Requerimientos!$H:$H,MATCH($A48,Requerimientos!$A:$A,0)),"")</f>
        <v>Lab 6</v>
      </c>
      <c r="F48" s="24" t="str">
        <f>IFERROR(INDEX(Requerimientos!$K:$K,MATCH($A48,Requerimientos!$A:$A,0)),"")</f>
        <v>Pendiente</v>
      </c>
      <c r="G48" s="24" t="str">
        <f>IFERROR(INDEX(Requerimientos!$L:$L,MATCH($A48,Requerimientos!$A:$A,0)),"")</f>
        <v>Sí</v>
      </c>
      <c r="H48" s="24">
        <f>IFERROR(INDEX(Requerimientos!$M:$M,MATCH($A48,Requerimientos!$A:$A,0)),"")</f>
        <v>0</v>
      </c>
    </row>
    <row r="49" spans="1:8" ht="30" customHeight="1" outlineLevel="1" x14ac:dyDescent="0.25">
      <c r="A49" s="25" t="s">
        <v>247</v>
      </c>
      <c r="B49" s="3" t="str">
        <f>IFERROR(INDEX(Requerimientos!$E:$E,MATCH($A49,Requerimientos!$A:$A,0)),"")</f>
        <v>Un mismo cliente no puede tener reservas con fechas de alojamiento superpuestas</v>
      </c>
      <c r="C49" s="24" t="str">
        <f>IFERROR(INDEX(Requerimientos!$B:$B,MATCH($A49,Requerimientos!$A:$A,0)),"")</f>
        <v>M4 Reservas</v>
      </c>
      <c r="D49" s="24" t="str">
        <f>IFERROR(INDEX(Requerimientos!$G:$G,MATCH($A49,Requerimientos!$A:$A,0)),"")</f>
        <v>Alta</v>
      </c>
      <c r="E49" s="24" t="str">
        <f>IFERROR(INDEX(Requerimientos!$H:$H,MATCH($A49,Requerimientos!$A:$A,0)),"")</f>
        <v>Lab 6</v>
      </c>
      <c r="F49" s="24" t="str">
        <f>IFERROR(INDEX(Requerimientos!$K:$K,MATCH($A49,Requerimientos!$A:$A,0)),"")</f>
        <v>Pendiente</v>
      </c>
      <c r="G49" s="24" t="str">
        <f>IFERROR(INDEX(Requerimientos!$L:$L,MATCH($A49,Requerimientos!$A:$A,0)),"")</f>
        <v>Sí</v>
      </c>
      <c r="H49" s="24">
        <f>IFERROR(INDEX(Requerimientos!$M:$M,MATCH($A49,Requerimientos!$A:$A,0)),"")</f>
        <v>0</v>
      </c>
    </row>
    <row r="50" spans="1:8" ht="30" customHeight="1" outlineLevel="1" x14ac:dyDescent="0.25">
      <c r="A50" s="25" t="s">
        <v>250</v>
      </c>
      <c r="B50" s="3" t="str">
        <f>IFERROR(INDEX(Requerimientos!$E:$E,MATCH($A50,Requerimientos!$A:$A,0)),"")</f>
        <v>Login único: tras autenticar se resuelve el rol y se navega al flujo correspondiente</v>
      </c>
      <c r="C50" s="24" t="str">
        <f>IFERROR(INDEX(Requerimientos!$B:$B,MATCH($A50,Requerimientos!$A:$A,0)),"")</f>
        <v>M1 Autenticación</v>
      </c>
      <c r="D50" s="24" t="str">
        <f>IFERROR(INDEX(Requerimientos!$G:$G,MATCH($A50,Requerimientos!$A:$A,0)),"")</f>
        <v>Alta</v>
      </c>
      <c r="E50" s="24" t="str">
        <f>IFERROR(INDEX(Requerimientos!$H:$H,MATCH($A50,Requerimientos!$A:$A,0)),"")</f>
        <v>Lab 6</v>
      </c>
      <c r="F50" s="24" t="str">
        <f>IFERROR(INDEX(Requerimientos!$K:$K,MATCH($A50,Requerimientos!$A:$A,0)),"")</f>
        <v>Pendiente</v>
      </c>
      <c r="G50" s="24" t="str">
        <f>IFERROR(INDEX(Requerimientos!$L:$L,MATCH($A50,Requerimientos!$A:$A,0)),"")</f>
        <v>Sí</v>
      </c>
      <c r="H50" s="24">
        <f>IFERROR(INDEX(Requerimientos!$M:$M,MATCH($A50,Requerimientos!$A:$A,0)),"")</f>
        <v>0</v>
      </c>
    </row>
    <row r="51" spans="1:8" ht="30" customHeight="1" outlineLevel="1" x14ac:dyDescent="0.25">
      <c r="A51" s="25" t="s">
        <v>253</v>
      </c>
      <c r="B51" s="3" t="str">
        <f>IFERROR(INDEX(Requerimientos!$E:$E,MATCH($A51,Requerimientos!$A:$A,0)),"")</f>
        <v>Los mensajes de chat persisten con fecha y hora</v>
      </c>
      <c r="C51" s="24" t="str">
        <f>IFERROR(INDEX(Requerimientos!$B:$B,MATCH($A51,Requerimientos!$A:$A,0)),"")</f>
        <v>M7 Chat</v>
      </c>
      <c r="D51" s="24" t="str">
        <f>IFERROR(INDEX(Requerimientos!$G:$G,MATCH($A51,Requerimientos!$A:$A,0)),"")</f>
        <v>Alta</v>
      </c>
      <c r="E51" s="24" t="str">
        <f>IFERROR(INDEX(Requerimientos!$H:$H,MATCH($A51,Requerimientos!$A:$A,0)),"")</f>
        <v>Lab 6</v>
      </c>
      <c r="F51" s="24" t="str">
        <f>IFERROR(INDEX(Requerimientos!$K:$K,MATCH($A51,Requerimientos!$A:$A,0)),"")</f>
        <v>Pendiente</v>
      </c>
      <c r="G51" s="24" t="str">
        <f>IFERROR(INDEX(Requerimientos!$L:$L,MATCH($A51,Requerimientos!$A:$A,0)),"")</f>
        <v>Sí</v>
      </c>
      <c r="H51" s="24">
        <f>IFERROR(INDEX(Requerimientos!$M:$M,MATCH($A51,Requerimientos!$A:$A,0)),"")</f>
        <v>0</v>
      </c>
    </row>
    <row r="52" spans="1:8" ht="30" customHeight="1" outlineLevel="1" x14ac:dyDescent="0.25">
      <c r="A52" s="25" t="s">
        <v>256</v>
      </c>
      <c r="B52" s="3" t="str">
        <f>IFERROR(INDEX(Requerimientos!$E:$E,MATCH($A52,Requerimientos!$A:$A,0)),"")</f>
        <v>Las contraseñas nunca se almacenan en texto plano</v>
      </c>
      <c r="C52" s="24" t="str">
        <f>IFERROR(INDEX(Requerimientos!$B:$B,MATCH($A52,Requerimientos!$A:$A,0)),"")</f>
        <v>M10 Calidad</v>
      </c>
      <c r="D52" s="24" t="str">
        <f>IFERROR(INDEX(Requerimientos!$G:$G,MATCH($A52,Requerimientos!$A:$A,0)),"")</f>
        <v>Alta</v>
      </c>
      <c r="E52" s="24" t="str">
        <f>IFERROR(INDEX(Requerimientos!$H:$H,MATCH($A52,Requerimientos!$A:$A,0)),"")</f>
        <v>Lab 6</v>
      </c>
      <c r="F52" s="24" t="str">
        <f>IFERROR(INDEX(Requerimientos!$K:$K,MATCH($A52,Requerimientos!$A:$A,0)),"")</f>
        <v>Pendiente</v>
      </c>
      <c r="G52" s="24" t="str">
        <f>IFERROR(INDEX(Requerimientos!$L:$L,MATCH($A52,Requerimientos!$A:$A,0)),"")</f>
        <v>NA</v>
      </c>
      <c r="H52" s="24">
        <f>IFERROR(INDEX(Requerimientos!$M:$M,MATCH($A52,Requerimientos!$A:$A,0)),"")</f>
        <v>0</v>
      </c>
    </row>
    <row r="53" spans="1:8" ht="30" customHeight="1" outlineLevel="1" x14ac:dyDescent="0.25">
      <c r="A53" s="25" t="s">
        <v>259</v>
      </c>
      <c r="B53" s="3" t="str">
        <f>IFERROR(INDEX(Requerimientos!$E:$E,MATCH($A53,Requerimientos!$A:$A,0)),"")</f>
        <v>Las operaciones están restringidas según el rol autenticado</v>
      </c>
      <c r="C53" s="24" t="str">
        <f>IFERROR(INDEX(Requerimientos!$B:$B,MATCH($A53,Requerimientos!$A:$A,0)),"")</f>
        <v>M10 Calidad</v>
      </c>
      <c r="D53" s="24" t="str">
        <f>IFERROR(INDEX(Requerimientos!$G:$G,MATCH($A53,Requerimientos!$A:$A,0)),"")</f>
        <v>Alta</v>
      </c>
      <c r="E53" s="24" t="str">
        <f>IFERROR(INDEX(Requerimientos!$H:$H,MATCH($A53,Requerimientos!$A:$A,0)),"")</f>
        <v>Lab 6</v>
      </c>
      <c r="F53" s="24" t="str">
        <f>IFERROR(INDEX(Requerimientos!$K:$K,MATCH($A53,Requerimientos!$A:$A,0)),"")</f>
        <v>Pendiente</v>
      </c>
      <c r="G53" s="24" t="str">
        <f>IFERROR(INDEX(Requerimientos!$L:$L,MATCH($A53,Requerimientos!$A:$A,0)),"")</f>
        <v>NA</v>
      </c>
      <c r="H53" s="24">
        <f>IFERROR(INDEX(Requerimientos!$M:$M,MATCH($A53,Requerimientos!$A:$A,0)),"")</f>
        <v>0</v>
      </c>
    </row>
    <row r="54" spans="1:8" ht="30" customHeight="1" outlineLevel="1" x14ac:dyDescent="0.25">
      <c r="A54" s="25" t="s">
        <v>262</v>
      </c>
      <c r="B54" s="3" t="str">
        <f>IFERROR(INDEX(Requerimientos!$E:$E,MATCH($A54,Requerimientos!$A:$A,0)),"")</f>
        <v>Un cliente solo accede a sus propios datos</v>
      </c>
      <c r="C54" s="24" t="str">
        <f>IFERROR(INDEX(Requerimientos!$B:$B,MATCH($A54,Requerimientos!$A:$A,0)),"")</f>
        <v>M10 Calidad</v>
      </c>
      <c r="D54" s="24" t="str">
        <f>IFERROR(INDEX(Requerimientos!$G:$G,MATCH($A54,Requerimientos!$A:$A,0)),"")</f>
        <v>Alta</v>
      </c>
      <c r="E54" s="24" t="str">
        <f>IFERROR(INDEX(Requerimientos!$H:$H,MATCH($A54,Requerimientos!$A:$A,0)),"")</f>
        <v>Lab 6</v>
      </c>
      <c r="F54" s="24" t="str">
        <f>IFERROR(INDEX(Requerimientos!$K:$K,MATCH($A54,Requerimientos!$A:$A,0)),"")</f>
        <v>Pendiente</v>
      </c>
      <c r="G54" s="24" t="str">
        <f>IFERROR(INDEX(Requerimientos!$L:$L,MATCH($A54,Requerimientos!$A:$A,0)),"")</f>
        <v>NA</v>
      </c>
      <c r="H54" s="24">
        <f>IFERROR(INDEX(Requerimientos!$M:$M,MATCH($A54,Requerimientos!$A:$A,0)),"")</f>
        <v>0</v>
      </c>
    </row>
    <row r="55" spans="1:8" ht="30" customHeight="1" outlineLevel="1" x14ac:dyDescent="0.25">
      <c r="A55" s="25" t="s">
        <v>265</v>
      </c>
      <c r="B55" s="3" t="str">
        <f>IFERROR(INDEX(Requerimientos!$E:$E,MATCH($A55,Requerimientos!$A:$A,0)),"")</f>
        <v>La persistencia de la app principal es una base de datos NoSQL</v>
      </c>
      <c r="C55" s="24" t="str">
        <f>IFERROR(INDEX(Requerimientos!$B:$B,MATCH($A55,Requerimientos!$A:$A,0)),"")</f>
        <v>M10 Calidad</v>
      </c>
      <c r="D55" s="24" t="str">
        <f>IFERROR(INDEX(Requerimientos!$G:$G,MATCH($A55,Requerimientos!$A:$A,0)),"")</f>
        <v>Alta</v>
      </c>
      <c r="E55" s="24" t="str">
        <f>IFERROR(INDEX(Requerimientos!$H:$H,MATCH($A55,Requerimientos!$A:$A,0)),"")</f>
        <v>Lab 6</v>
      </c>
      <c r="F55" s="24" t="str">
        <f>IFERROR(INDEX(Requerimientos!$K:$K,MATCH($A55,Requerimientos!$A:$A,0)),"")</f>
        <v>Pendiente</v>
      </c>
      <c r="G55" s="24" t="str">
        <f>IFERROR(INDEX(Requerimientos!$L:$L,MATCH($A55,Requerimientos!$A:$A,0)),"")</f>
        <v>NA</v>
      </c>
      <c r="H55" s="24">
        <f>IFERROR(INDEX(Requerimientos!$M:$M,MATCH($A55,Requerimientos!$A:$A,0)),"")</f>
        <v>0</v>
      </c>
    </row>
    <row r="56" spans="1:8" ht="30" customHeight="1" outlineLevel="1" x14ac:dyDescent="0.25">
      <c r="A56" s="25" t="s">
        <v>139</v>
      </c>
      <c r="B56" s="3" t="str">
        <f>IFERROR(INDEX(Requerimientos!$E:$E,MATCH($A56,Requerimientos!$A:$A,0)),"")</f>
        <v>El sistema registra los eventos relevantes en logs consultables por el Superadmin</v>
      </c>
      <c r="C56" s="24" t="str">
        <f>IFERROR(INDEX(Requerimientos!$B:$B,MATCH($A56,Requerimientos!$A:$A,0)),"")</f>
        <v>M10 Calidad</v>
      </c>
      <c r="D56" s="24" t="str">
        <f>IFERROR(INDEX(Requerimientos!$G:$G,MATCH($A56,Requerimientos!$A:$A,0)),"")</f>
        <v>Media</v>
      </c>
      <c r="E56" s="24" t="str">
        <f>IFERROR(INDEX(Requerimientos!$H:$H,MATCH($A56,Requerimientos!$A:$A,0)),"")</f>
        <v>Lab 6</v>
      </c>
      <c r="F56" s="24" t="str">
        <f>IFERROR(INDEX(Requerimientos!$K:$K,MATCH($A56,Requerimientos!$A:$A,0)),"")</f>
        <v>Pendiente</v>
      </c>
      <c r="G56" s="24" t="str">
        <f>IFERROR(INDEX(Requerimientos!$L:$L,MATCH($A56,Requerimientos!$A:$A,0)),"")</f>
        <v>NA</v>
      </c>
      <c r="H56" s="24">
        <f>IFERROR(INDEX(Requerimientos!$M:$M,MATCH($A56,Requerimientos!$A:$A,0)),"")</f>
        <v>0</v>
      </c>
    </row>
    <row r="57" spans="1:8" ht="30" customHeight="1" outlineLevel="1" x14ac:dyDescent="0.25">
      <c r="A57" s="25" t="s">
        <v>270</v>
      </c>
      <c r="B57" s="3" t="str">
        <f>IFERROR(INDEX(Requerimientos!$E:$E,MATCH($A57,Requerimientos!$A:$A,0)),"")</f>
        <v>La ubicación del taxista se actualiza periódicamente durante un servicio activo</v>
      </c>
      <c r="C57" s="24" t="str">
        <f>IFERROR(INDEX(Requerimientos!$B:$B,MATCH($A57,Requerimientos!$A:$A,0)),"")</f>
        <v>M10 Calidad</v>
      </c>
      <c r="D57" s="24" t="str">
        <f>IFERROR(INDEX(Requerimientos!$G:$G,MATCH($A57,Requerimientos!$A:$A,0)),"")</f>
        <v>Alta</v>
      </c>
      <c r="E57" s="24" t="str">
        <f>IFERROR(INDEX(Requerimientos!$H:$H,MATCH($A57,Requerimientos!$A:$A,0)),"")</f>
        <v>Lab 7</v>
      </c>
      <c r="F57" s="24" t="str">
        <f>IFERROR(INDEX(Requerimientos!$K:$K,MATCH($A57,Requerimientos!$A:$A,0)),"")</f>
        <v>Pendiente</v>
      </c>
      <c r="G57" s="24" t="str">
        <f>IFERROR(INDEX(Requerimientos!$L:$L,MATCH($A57,Requerimientos!$A:$A,0)),"")</f>
        <v>NA</v>
      </c>
      <c r="H57" s="24">
        <f>IFERROR(INDEX(Requerimientos!$M:$M,MATCH($A57,Requerimientos!$A:$A,0)),"")</f>
        <v>0</v>
      </c>
    </row>
    <row r="58" spans="1:8" ht="30" customHeight="1" outlineLevel="1" x14ac:dyDescent="0.25">
      <c r="A58" s="25" t="s">
        <v>273</v>
      </c>
      <c r="B58" s="3" t="str">
        <f>IFERROR(INDEX(Requerimientos!$E:$E,MATCH($A58,Requerimientos!$A:$A,0)),"")</f>
        <v>Si la API de taxistas está caída la app lo informa sin afectar el resto del sistema</v>
      </c>
      <c r="C58" s="24" t="str">
        <f>IFERROR(INDEX(Requerimientos!$B:$B,MATCH($A58,Requerimientos!$A:$A,0)),"")</f>
        <v>M10 Calidad</v>
      </c>
      <c r="D58" s="24" t="str">
        <f>IFERROR(INDEX(Requerimientos!$G:$G,MATCH($A58,Requerimientos!$A:$A,0)),"")</f>
        <v>Alta</v>
      </c>
      <c r="E58" s="24" t="str">
        <f>IFERROR(INDEX(Requerimientos!$H:$H,MATCH($A58,Requerimientos!$A:$A,0)),"")</f>
        <v>Lab 7</v>
      </c>
      <c r="F58" s="24" t="str">
        <f>IFERROR(INDEX(Requerimientos!$K:$K,MATCH($A58,Requerimientos!$A:$A,0)),"")</f>
        <v>Pendiente</v>
      </c>
      <c r="G58" s="24" t="str">
        <f>IFERROR(INDEX(Requerimientos!$L:$L,MATCH($A58,Requerimientos!$A:$A,0)),"")</f>
        <v>NA</v>
      </c>
      <c r="H58" s="24">
        <f>IFERROR(INDEX(Requerimientos!$M:$M,MATCH($A58,Requerimientos!$A:$A,0)),"")</f>
        <v>0</v>
      </c>
    </row>
    <row r="59" spans="1:8" ht="30" customHeight="1" outlineLevel="1" x14ac:dyDescent="0.25">
      <c r="A59" s="25" t="s">
        <v>276</v>
      </c>
      <c r="B59" s="3" t="str">
        <f>IFERROR(INDEX(Requerimientos!$E:$E,MATCH($A59,Requerimientos!$A:$A,0)),"")</f>
        <v>La app móvil no accede directamente a la base de datos del sistema de taxistas</v>
      </c>
      <c r="C59" s="24" t="str">
        <f>IFERROR(INDEX(Requerimientos!$B:$B,MATCH($A59,Requerimientos!$A:$A,0)),"")</f>
        <v>M10 Calidad</v>
      </c>
      <c r="D59" s="24" t="str">
        <f>IFERROR(INDEX(Requerimientos!$G:$G,MATCH($A59,Requerimientos!$A:$A,0)),"")</f>
        <v>Alta</v>
      </c>
      <c r="E59" s="24" t="str">
        <f>IFERROR(INDEX(Requerimientos!$H:$H,MATCH($A59,Requerimientos!$A:$A,0)),"")</f>
        <v>Lab 7</v>
      </c>
      <c r="F59" s="24" t="str">
        <f>IFERROR(INDEX(Requerimientos!$K:$K,MATCH($A59,Requerimientos!$A:$A,0)),"")</f>
        <v>Pendiente</v>
      </c>
      <c r="G59" s="24" t="str">
        <f>IFERROR(INDEX(Requerimientos!$L:$L,MATCH($A59,Requerimientos!$A:$A,0)),"")</f>
        <v>NA</v>
      </c>
      <c r="H59" s="24">
        <f>IFERROR(INDEX(Requerimientos!$M:$M,MATCH($A59,Requerimientos!$A:$A,0)),"")</f>
        <v>0</v>
      </c>
    </row>
  </sheetData>
  <mergeCells count="8">
    <mergeCell ref="A1:H1"/>
    <mergeCell ref="A46:H46"/>
    <mergeCell ref="A6:H6"/>
    <mergeCell ref="A3:H3"/>
    <mergeCell ref="A24:H24"/>
    <mergeCell ref="A2:H2"/>
    <mergeCell ref="A13:H13"/>
    <mergeCell ref="A33:H33"/>
  </mergeCells>
  <conditionalFormatting sqref="F6:F59">
    <cfRule type="cellIs" dxfId="17" priority="1" operator="equal">
      <formula>"Hecho"</formula>
    </cfRule>
    <cfRule type="cellIs" dxfId="16" priority="2" operator="equal">
      <formula>"En progreso"</formula>
    </cfRule>
    <cfRule type="cellIs" dxfId="15" priority="3" operator="equal">
      <formula>"Bloqueado"</formula>
    </cfRule>
    <cfRule type="cellIs" dxfId="14" priority="4" operator="equal">
      <formula>"Pendiente"</formula>
    </cfRule>
  </conditionalFormatting>
  <conditionalFormatting sqref="G6:G59">
    <cfRule type="cellIs" dxfId="13" priority="5" operator="equal">
      <formula>"Sí"</formula>
    </cfRule>
    <cfRule type="cellIs" dxfId="12" priority="6" operator="equal">
      <formula>"Parcial"</formula>
    </cfRule>
    <cfRule type="cellIs" dxfId="11" priority="7" operator="equal">
      <formula>"No"</formula>
    </cfRule>
  </conditionalFormatting>
  <conditionalFormatting sqref="D6:D59">
    <cfRule type="cellIs" dxfId="10" priority="8" operator="equal">
      <formula>"Alta"</formula>
    </cfRule>
    <cfRule type="cellIs" dxfId="9" priority="9" operator="equal">
      <formula>"Media"</formula>
    </cfRule>
  </conditionalFormatting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61"/>
  <sheetViews>
    <sheetView showGridLines="0" workbookViewId="0">
      <pane ySplit="5" topLeftCell="A6" activePane="bottomLeft" state="frozen"/>
      <selection pane="bottomLeft"/>
    </sheetView>
  </sheetViews>
  <sheetFormatPr baseColWidth="10" defaultColWidth="9.140625" defaultRowHeight="15" outlineLevelRow="1" x14ac:dyDescent="0.25"/>
  <cols>
    <col min="1" max="1" width="11" customWidth="1"/>
    <col min="2" max="2" width="66" customWidth="1"/>
    <col min="3" max="4" width="21" customWidth="1"/>
    <col min="5" max="5" width="11" customWidth="1"/>
    <col min="6" max="6" width="13" customWidth="1"/>
    <col min="7" max="7" width="10" customWidth="1"/>
    <col min="8" max="8" width="12" customWidth="1"/>
  </cols>
  <sheetData>
    <row r="1" spans="1:8" ht="33.950000000000003" customHeight="1" x14ac:dyDescent="0.25">
      <c r="A1" s="26" t="s">
        <v>288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32" t="s">
        <v>289</v>
      </c>
      <c r="B2" s="33"/>
      <c r="C2" s="33"/>
      <c r="D2" s="33"/>
      <c r="E2" s="33"/>
      <c r="F2" s="33"/>
      <c r="G2" s="33"/>
      <c r="H2" s="33"/>
    </row>
    <row r="3" spans="1:8" ht="15.95" customHeight="1" x14ac:dyDescent="0.25">
      <c r="A3" s="34" t="s">
        <v>290</v>
      </c>
      <c r="B3" s="31"/>
      <c r="C3" s="31"/>
      <c r="D3" s="31"/>
      <c r="E3" s="31"/>
      <c r="F3" s="31"/>
      <c r="G3" s="31"/>
      <c r="H3" s="31"/>
    </row>
    <row r="5" spans="1:8" ht="30" customHeight="1" x14ac:dyDescent="0.25">
      <c r="A5" s="1" t="s">
        <v>24</v>
      </c>
      <c r="B5" s="1" t="s">
        <v>36</v>
      </c>
      <c r="C5" s="1" t="s">
        <v>30</v>
      </c>
      <c r="D5" s="1" t="s">
        <v>47</v>
      </c>
      <c r="E5" s="1" t="s">
        <v>41</v>
      </c>
      <c r="F5" s="1" t="s">
        <v>53</v>
      </c>
      <c r="G5" s="1" t="s">
        <v>56</v>
      </c>
      <c r="H5" s="1" t="s">
        <v>50</v>
      </c>
    </row>
    <row r="6" spans="1:8" ht="21.95" customHeight="1" x14ac:dyDescent="0.25">
      <c r="A6" s="28" t="s">
        <v>291</v>
      </c>
      <c r="B6" s="29"/>
      <c r="C6" s="29"/>
      <c r="D6" s="29"/>
      <c r="E6" s="29"/>
      <c r="F6" s="29"/>
      <c r="G6" s="29"/>
      <c r="H6" s="29"/>
    </row>
    <row r="7" spans="1:8" ht="30" customHeight="1" outlineLevel="1" x14ac:dyDescent="0.25">
      <c r="A7" s="25" t="s">
        <v>237</v>
      </c>
      <c r="B7" s="3" t="str">
        <f>IFERROR(INDEX(Requerimientos!$E:$E,MATCH($A7,Requerimientos!$A:$A,0)),"")</f>
        <v>La app móvil es Android nativa en Java con versión mínima Android 14 API 34</v>
      </c>
      <c r="C7" s="24" t="str">
        <f>IFERROR(INDEX(Requerimientos!$C:$C,MATCH($A7,Requerimientos!$A:$A,0)),"")</f>
        <v>Transversal</v>
      </c>
      <c r="D7" s="24" t="str">
        <f>IFERROR(INDEX(Requerimientos!$I:$I,MATCH($A7,Requerimientos!$A:$A,0)),"")</f>
        <v>Navegación y UI</v>
      </c>
      <c r="E7" s="24" t="str">
        <f>IFERROR(INDEX(Requerimientos!$G:$G,MATCH($A7,Requerimientos!$A:$A,0)),"")</f>
        <v>Alta</v>
      </c>
      <c r="F7" s="24" t="str">
        <f>IFERROR(INDEX(Requerimientos!$K:$K,MATCH($A7,Requerimientos!$A:$A,0)),"")</f>
        <v>Pendiente</v>
      </c>
      <c r="G7" s="24" t="str">
        <f>IFERROR(INDEX(Requerimientos!$L:$L,MATCH($A7,Requerimientos!$A:$A,0)),"")</f>
        <v>NA</v>
      </c>
      <c r="H7" s="24">
        <f>IFERROR(INDEX(Requerimientos!$J:$J,MATCH($A7,Requerimientos!$A:$A,0)),"")</f>
        <v>0</v>
      </c>
    </row>
    <row r="9" spans="1:8" ht="21.95" customHeight="1" x14ac:dyDescent="0.25">
      <c r="A9" s="28" t="s">
        <v>292</v>
      </c>
      <c r="B9" s="29"/>
      <c r="C9" s="29"/>
      <c r="D9" s="29"/>
      <c r="E9" s="29"/>
      <c r="F9" s="29"/>
      <c r="G9" s="29"/>
      <c r="H9" s="29"/>
    </row>
    <row r="10" spans="1:8" ht="30" customHeight="1" outlineLevel="1" x14ac:dyDescent="0.25">
      <c r="A10" s="25" t="s">
        <v>145</v>
      </c>
      <c r="B10" s="3" t="str">
        <f>IFERROR(INDEX(Requerimientos!$E:$E,MATCH($A10,Requerimientos!$A:$A,0)),"")</f>
        <v>Registrar habitaciones con tipo capacidad de adultos y niños y tamaño en m2</v>
      </c>
      <c r="C10" s="24" t="str">
        <f>IFERROR(INDEX(Requerimientos!$C:$C,MATCH($A10,Requerimientos!$A:$A,0)),"")</f>
        <v>Administrador de hotel</v>
      </c>
      <c r="D10" s="24" t="str">
        <f>IFERROR(INDEX(Requerimientos!$I:$I,MATCH($A10,Requerimientos!$A:$A,0)),"")</f>
        <v>RecyclerView</v>
      </c>
      <c r="E10" s="24" t="str">
        <f>IFERROR(INDEX(Requerimientos!$G:$G,MATCH($A10,Requerimientos!$A:$A,0)),"")</f>
        <v>Alta</v>
      </c>
      <c r="F10" s="24" t="str">
        <f>IFERROR(INDEX(Requerimientos!$K:$K,MATCH($A10,Requerimientos!$A:$A,0)),"")</f>
        <v>Pendiente</v>
      </c>
      <c r="G10" s="24" t="str">
        <f>IFERROR(INDEX(Requerimientos!$L:$L,MATCH($A10,Requerimientos!$A:$A,0)),"")</f>
        <v>Sí</v>
      </c>
      <c r="H10" s="24" t="str">
        <f>IFERROR(INDEX(Requerimientos!$J:$J,MATCH($A10,Requerimientos!$A:$A,0)),"")</f>
        <v>RF-SA-02</v>
      </c>
    </row>
    <row r="11" spans="1:8" ht="30" customHeight="1" outlineLevel="1" x14ac:dyDescent="0.25">
      <c r="A11" s="25" t="s">
        <v>150</v>
      </c>
      <c r="B11" s="3" t="str">
        <f>IFERROR(INDEX(Requerimientos!$E:$E,MATCH($A11,Requerimientos!$A:$A,0)),"")</f>
        <v>Registrar servicios con nombre descripción precio imágenes y si tienen costo</v>
      </c>
      <c r="C11" s="24" t="str">
        <f>IFERROR(INDEX(Requerimientos!$C:$C,MATCH($A11,Requerimientos!$A:$A,0)),"")</f>
        <v>Administrador de hotel</v>
      </c>
      <c r="D11" s="24" t="str">
        <f>IFERROR(INDEX(Requerimientos!$I:$I,MATCH($A11,Requerimientos!$A:$A,0)),"")</f>
        <v>RecyclerView</v>
      </c>
      <c r="E11" s="24" t="str">
        <f>IFERROR(INDEX(Requerimientos!$G:$G,MATCH($A11,Requerimientos!$A:$A,0)),"")</f>
        <v>Alta</v>
      </c>
      <c r="F11" s="24" t="str">
        <f>IFERROR(INDEX(Requerimientos!$K:$K,MATCH($A11,Requerimientos!$A:$A,0)),"")</f>
        <v>Pendiente</v>
      </c>
      <c r="G11" s="24" t="str">
        <f>IFERROR(INDEX(Requerimientos!$L:$L,MATCH($A11,Requerimientos!$A:$A,0)),"")</f>
        <v>Sí</v>
      </c>
      <c r="H11" s="24" t="str">
        <f>IFERROR(INDEX(Requerimientos!$J:$J,MATCH($A11,Requerimientos!$A:$A,0)),"")</f>
        <v>RF-SA-02</v>
      </c>
    </row>
    <row r="12" spans="1:8" ht="30" customHeight="1" outlineLevel="1" x14ac:dyDescent="0.25">
      <c r="A12" s="25" t="s">
        <v>205</v>
      </c>
      <c r="B12" s="3" t="str">
        <f>IFERROR(INDEX(Requerimientos!$E:$E,MATCH($A12,Requerimientos!$A:$A,0)),"")</f>
        <v>Consultar hoteles habitaciones servicios disponibilidad y valoraciones</v>
      </c>
      <c r="C12" s="24" t="str">
        <f>IFERROR(INDEX(Requerimientos!$C:$C,MATCH($A12,Requerimientos!$A:$A,0)),"")</f>
        <v>Cliente</v>
      </c>
      <c r="D12" s="24" t="str">
        <f>IFERROR(INDEX(Requerimientos!$I:$I,MATCH($A12,Requerimientos!$A:$A,0)),"")</f>
        <v>RecyclerView</v>
      </c>
      <c r="E12" s="24" t="str">
        <f>IFERROR(INDEX(Requerimientos!$G:$G,MATCH($A12,Requerimientos!$A:$A,0)),"")</f>
        <v>Alta</v>
      </c>
      <c r="F12" s="24" t="str">
        <f>IFERROR(INDEX(Requerimientos!$K:$K,MATCH($A12,Requerimientos!$A:$A,0)),"")</f>
        <v>Pendiente</v>
      </c>
      <c r="G12" s="24" t="str">
        <f>IFERROR(INDEX(Requerimientos!$L:$L,MATCH($A12,Requerimientos!$A:$A,0)),"")</f>
        <v>Sí</v>
      </c>
      <c r="H12" s="24" t="str">
        <f>IFERROR(INDEX(Requerimientos!$J:$J,MATCH($A12,Requerimientos!$A:$A,0)),"")</f>
        <v>RF-AH-01</v>
      </c>
    </row>
    <row r="13" spans="1:8" ht="30" customHeight="1" outlineLevel="1" x14ac:dyDescent="0.25">
      <c r="A13" s="25" t="s">
        <v>208</v>
      </c>
      <c r="B13" s="3" t="str">
        <f>IFERROR(INDEX(Requerimientos!$E:$E,MATCH($A13,Requerimientos!$A:$A,0)),"")</f>
        <v>Ver el historial de sus reservas</v>
      </c>
      <c r="C13" s="24" t="str">
        <f>IFERROR(INDEX(Requerimientos!$C:$C,MATCH($A13,Requerimientos!$A:$A,0)),"")</f>
        <v>Cliente</v>
      </c>
      <c r="D13" s="24" t="str">
        <f>IFERROR(INDEX(Requerimientos!$I:$I,MATCH($A13,Requerimientos!$A:$A,0)),"")</f>
        <v>RecyclerView</v>
      </c>
      <c r="E13" s="24" t="str">
        <f>IFERROR(INDEX(Requerimientos!$G:$G,MATCH($A13,Requerimientos!$A:$A,0)),"")</f>
        <v>Media</v>
      </c>
      <c r="F13" s="24" t="str">
        <f>IFERROR(INDEX(Requerimientos!$K:$K,MATCH($A13,Requerimientos!$A:$A,0)),"")</f>
        <v>Pendiente</v>
      </c>
      <c r="G13" s="24" t="str">
        <f>IFERROR(INDEX(Requerimientos!$L:$L,MATCH($A13,Requerimientos!$A:$A,0)),"")</f>
        <v>Sí</v>
      </c>
      <c r="H13" s="24" t="str">
        <f>IFERROR(INDEX(Requerimientos!$J:$J,MATCH($A13,Requerimientos!$A:$A,0)),"")</f>
        <v>RF-CL-03</v>
      </c>
    </row>
    <row r="15" spans="1:8" ht="21.95" customHeight="1" x14ac:dyDescent="0.25">
      <c r="A15" s="28" t="s">
        <v>293</v>
      </c>
      <c r="B15" s="29"/>
      <c r="C15" s="29"/>
      <c r="D15" s="29"/>
      <c r="E15" s="29"/>
      <c r="F15" s="29"/>
      <c r="G15" s="29"/>
      <c r="H15" s="29"/>
    </row>
    <row r="16" spans="1:8" ht="30" customHeight="1" outlineLevel="1" x14ac:dyDescent="0.25">
      <c r="A16" s="25" t="s">
        <v>153</v>
      </c>
      <c r="B16" s="3" t="str">
        <f>IFERROR(INDEX(Requerimientos!$E:$E,MATCH($A16,Requerimientos!$A:$A,0)),"")</f>
        <v>Subir fotos del hotel con un mínimo de 4</v>
      </c>
      <c r="C16" s="24" t="str">
        <f>IFERROR(INDEX(Requerimientos!$C:$C,MATCH($A16,Requerimientos!$A:$A,0)),"")</f>
        <v>Administrador de hotel</v>
      </c>
      <c r="D16" s="24" t="str">
        <f>IFERROR(INDEX(Requerimientos!$I:$I,MATCH($A16,Requerimientos!$A:$A,0)),"")</f>
        <v>Storage local</v>
      </c>
      <c r="E16" s="24" t="str">
        <f>IFERROR(INDEX(Requerimientos!$G:$G,MATCH($A16,Requerimientos!$A:$A,0)),"")</f>
        <v>Alta</v>
      </c>
      <c r="F16" s="24" t="str">
        <f>IFERROR(INDEX(Requerimientos!$K:$K,MATCH($A16,Requerimientos!$A:$A,0)),"")</f>
        <v>Pendiente</v>
      </c>
      <c r="G16" s="24" t="str">
        <f>IFERROR(INDEX(Requerimientos!$L:$L,MATCH($A16,Requerimientos!$A:$A,0)),"")</f>
        <v>Sí</v>
      </c>
      <c r="H16" s="24" t="str">
        <f>IFERROR(INDEX(Requerimientos!$J:$J,MATCH($A16,Requerimientos!$A:$A,0)),"")</f>
        <v>RF-SA-02</v>
      </c>
    </row>
    <row r="17" spans="1:8" ht="30" customHeight="1" outlineLevel="1" x14ac:dyDescent="0.25">
      <c r="A17" s="25" t="s">
        <v>157</v>
      </c>
      <c r="B17" s="3" t="str">
        <f>IFERROR(INDEX(Requerimientos!$E:$E,MATCH($A17,Requerimientos!$A:$A,0)),"")</f>
        <v>Recibir la alerta de checkout y procesar el cobro de la tarjeta registrada</v>
      </c>
      <c r="C17" s="24" t="str">
        <f>IFERROR(INDEX(Requerimientos!$C:$C,MATCH($A17,Requerimientos!$A:$A,0)),"")</f>
        <v>Administrador de hotel</v>
      </c>
      <c r="D17" s="24" t="str">
        <f>IFERROR(INDEX(Requerimientos!$I:$I,MATCH($A17,Requerimientos!$A:$A,0)),"")</f>
        <v>Notificaciones</v>
      </c>
      <c r="E17" s="24" t="str">
        <f>IFERROR(INDEX(Requerimientos!$G:$G,MATCH($A17,Requerimientos!$A:$A,0)),"")</f>
        <v>Alta</v>
      </c>
      <c r="F17" s="24" t="str">
        <f>IFERROR(INDEX(Requerimientos!$K:$K,MATCH($A17,Requerimientos!$A:$A,0)),"")</f>
        <v>Pendiente</v>
      </c>
      <c r="G17" s="24" t="str">
        <f>IFERROR(INDEX(Requerimientos!$L:$L,MATCH($A17,Requerimientos!$A:$A,0)),"")</f>
        <v>Sí</v>
      </c>
      <c r="H17" s="24" t="str">
        <f>IFERROR(INDEX(Requerimientos!$J:$J,MATCH($A17,Requerimientos!$A:$A,0)),"")</f>
        <v>RF-CL-04</v>
      </c>
    </row>
    <row r="18" spans="1:8" ht="30" customHeight="1" outlineLevel="1" x14ac:dyDescent="0.25">
      <c r="A18" s="25" t="s">
        <v>211</v>
      </c>
      <c r="B18" s="3" t="str">
        <f>IFERROR(INDEX(Requerimientos!$E:$E,MATCH($A18,Requerimientos!$A:$A,0)),"")</f>
        <v>Recibir notificación cuando se le hace el cobro</v>
      </c>
      <c r="C18" s="24" t="str">
        <f>IFERROR(INDEX(Requerimientos!$C:$C,MATCH($A18,Requerimientos!$A:$A,0)),"")</f>
        <v>Cliente</v>
      </c>
      <c r="D18" s="24" t="str">
        <f>IFERROR(INDEX(Requerimientos!$I:$I,MATCH($A18,Requerimientos!$A:$A,0)),"")</f>
        <v>Notificaciones</v>
      </c>
      <c r="E18" s="24" t="str">
        <f>IFERROR(INDEX(Requerimientos!$G:$G,MATCH($A18,Requerimientos!$A:$A,0)),"")</f>
        <v>Alta</v>
      </c>
      <c r="F18" s="24" t="str">
        <f>IFERROR(INDEX(Requerimientos!$K:$K,MATCH($A18,Requerimientos!$A:$A,0)),"")</f>
        <v>Pendiente</v>
      </c>
      <c r="G18" s="24" t="str">
        <f>IFERROR(INDEX(Requerimientos!$L:$L,MATCH($A18,Requerimientos!$A:$A,0)),"")</f>
        <v>Parcial</v>
      </c>
      <c r="H18" s="24" t="str">
        <f>IFERROR(INDEX(Requerimientos!$J:$J,MATCH($A18,Requerimientos!$A:$A,0)),"")</f>
        <v>RF-AH-06</v>
      </c>
    </row>
    <row r="20" spans="1:8" ht="21.95" customHeight="1" x14ac:dyDescent="0.25">
      <c r="A20" s="28" t="s">
        <v>294</v>
      </c>
      <c r="B20" s="29"/>
      <c r="C20" s="29"/>
      <c r="D20" s="29"/>
      <c r="E20" s="29"/>
      <c r="F20" s="29"/>
      <c r="G20" s="29"/>
      <c r="H20" s="29"/>
    </row>
    <row r="21" spans="1:8" ht="30" customHeight="1" outlineLevel="1" x14ac:dyDescent="0.25">
      <c r="A21" s="25" t="s">
        <v>121</v>
      </c>
      <c r="B21" s="3" t="str">
        <f>IFERROR(INDEX(Requerimientos!$E:$E,MATCH($A21,Requerimientos!$A:$A,0)),"")</f>
        <v>Activar y desactivar administradores de hotel taxistas y clientes</v>
      </c>
      <c r="C21" s="24" t="str">
        <f>IFERROR(INDEX(Requerimientos!$C:$C,MATCH($A21,Requerimientos!$A:$A,0)),"")</f>
        <v>Superadmin</v>
      </c>
      <c r="D21" s="24" t="str">
        <f>IFERROR(INDEX(Requerimientos!$I:$I,MATCH($A21,Requerimientos!$A:$A,0)),"")</f>
        <v>Firebase Authentication</v>
      </c>
      <c r="E21" s="24" t="str">
        <f>IFERROR(INDEX(Requerimientos!$G:$G,MATCH($A21,Requerimientos!$A:$A,0)),"")</f>
        <v>Alta</v>
      </c>
      <c r="F21" s="24" t="str">
        <f>IFERROR(INDEX(Requerimientos!$K:$K,MATCH($A21,Requerimientos!$A:$A,0)),"")</f>
        <v>Pendiente</v>
      </c>
      <c r="G21" s="24" t="str">
        <f>IFERROR(INDEX(Requerimientos!$L:$L,MATCH($A21,Requerimientos!$A:$A,0)),"")</f>
        <v>No</v>
      </c>
      <c r="H21" s="24">
        <f>IFERROR(INDEX(Requerimientos!$J:$J,MATCH($A21,Requerimientos!$A:$A,0)),"")</f>
        <v>0</v>
      </c>
    </row>
    <row r="22" spans="1:8" ht="30" customHeight="1" outlineLevel="1" x14ac:dyDescent="0.25">
      <c r="A22" s="25" t="s">
        <v>127</v>
      </c>
      <c r="B22" s="3" t="str">
        <f>IFERROR(INDEX(Requerimientos!$E:$E,MATCH($A22,Requerimientos!$A:$A,0)),"")</f>
        <v>Registrar hoteles y asignar un administrador a cada uno</v>
      </c>
      <c r="C22" s="24" t="str">
        <f>IFERROR(INDEX(Requerimientos!$C:$C,MATCH($A22,Requerimientos!$A:$A,0)),"")</f>
        <v>Superadmin</v>
      </c>
      <c r="D22" s="24" t="str">
        <f>IFERROR(INDEX(Requerimientos!$I:$I,MATCH($A22,Requerimientos!$A:$A,0)),"")</f>
        <v>Firebase Database</v>
      </c>
      <c r="E22" s="24" t="str">
        <f>IFERROR(INDEX(Requerimientos!$G:$G,MATCH($A22,Requerimientos!$A:$A,0)),"")</f>
        <v>Alta</v>
      </c>
      <c r="F22" s="24" t="str">
        <f>IFERROR(INDEX(Requerimientos!$K:$K,MATCH($A22,Requerimientos!$A:$A,0)),"")</f>
        <v>Pendiente</v>
      </c>
      <c r="G22" s="24" t="str">
        <f>IFERROR(INDEX(Requerimientos!$L:$L,MATCH($A22,Requerimientos!$A:$A,0)),"")</f>
        <v>No</v>
      </c>
      <c r="H22" s="24">
        <f>IFERROR(INDEX(Requerimientos!$J:$J,MATCH($A22,Requerimientos!$A:$A,0)),"")</f>
        <v>0</v>
      </c>
    </row>
    <row r="23" spans="1:8" ht="30" customHeight="1" outlineLevel="1" x14ac:dyDescent="0.25">
      <c r="A23" s="25" t="s">
        <v>162</v>
      </c>
      <c r="B23" s="3" t="str">
        <f>IFERROR(INDEX(Requerimientos!$E:$E,MATCH($A23,Requerimientos!$A:$A,0)),"")</f>
        <v>Registrar la ubicación del hotel y los lugares históricos cercanos</v>
      </c>
      <c r="C23" s="24" t="str">
        <f>IFERROR(INDEX(Requerimientos!$C:$C,MATCH($A23,Requerimientos!$A:$A,0)),"")</f>
        <v>Administrador de hotel</v>
      </c>
      <c r="D23" s="24" t="str">
        <f>IFERROR(INDEX(Requerimientos!$I:$I,MATCH($A23,Requerimientos!$A:$A,0)),"")</f>
        <v>Firebase Database</v>
      </c>
      <c r="E23" s="24" t="str">
        <f>IFERROR(INDEX(Requerimientos!$G:$G,MATCH($A23,Requerimientos!$A:$A,0)),"")</f>
        <v>Alta</v>
      </c>
      <c r="F23" s="24" t="str">
        <f>IFERROR(INDEX(Requerimientos!$K:$K,MATCH($A23,Requerimientos!$A:$A,0)),"")</f>
        <v>Pendiente</v>
      </c>
      <c r="G23" s="24" t="str">
        <f>IFERROR(INDEX(Requerimientos!$L:$L,MATCH($A23,Requerimientos!$A:$A,0)),"")</f>
        <v>No</v>
      </c>
      <c r="H23" s="24" t="str">
        <f>IFERROR(INDEX(Requerimientos!$J:$J,MATCH($A23,Requerimientos!$A:$A,0)),"")</f>
        <v>RF-SA-02</v>
      </c>
    </row>
    <row r="24" spans="1:8" ht="30" customHeight="1" outlineLevel="1" x14ac:dyDescent="0.25">
      <c r="A24" s="25" t="s">
        <v>166</v>
      </c>
      <c r="B24" s="3" t="str">
        <f>IFERROR(INDEX(Requerimientos!$E:$E,MATCH($A24,Requerimientos!$A:$A,0)),"")</f>
        <v>Responder los chats de clientes con reserva activa</v>
      </c>
      <c r="C24" s="24" t="str">
        <f>IFERROR(INDEX(Requerimientos!$C:$C,MATCH($A24,Requerimientos!$A:$A,0)),"")</f>
        <v>Administrador de hotel</v>
      </c>
      <c r="D24" s="24" t="str">
        <f>IFERROR(INDEX(Requerimientos!$I:$I,MATCH($A24,Requerimientos!$A:$A,0)),"")</f>
        <v>Firebase Database</v>
      </c>
      <c r="E24" s="24" t="str">
        <f>IFERROR(INDEX(Requerimientos!$G:$G,MATCH($A24,Requerimientos!$A:$A,0)),"")</f>
        <v>Alta</v>
      </c>
      <c r="F24" s="24" t="str">
        <f>IFERROR(INDEX(Requerimientos!$K:$K,MATCH($A24,Requerimientos!$A:$A,0)),"")</f>
        <v>Pendiente</v>
      </c>
      <c r="G24" s="24" t="str">
        <f>IFERROR(INDEX(Requerimientos!$L:$L,MATCH($A24,Requerimientos!$A:$A,0)),"")</f>
        <v>Sí</v>
      </c>
      <c r="H24" s="24" t="str">
        <f>IFERROR(INDEX(Requerimientos!$J:$J,MATCH($A24,Requerimientos!$A:$A,0)),"")</f>
        <v>RF-CL-07</v>
      </c>
    </row>
    <row r="25" spans="1:8" ht="30" customHeight="1" outlineLevel="1" x14ac:dyDescent="0.25">
      <c r="A25" s="25" t="s">
        <v>170</v>
      </c>
      <c r="B25" s="3" t="str">
        <f>IFERROR(INDEX(Requerimientos!$E:$E,MATCH($A25,Requerimientos!$A:$A,0)),"")</f>
        <v>Añadir cobros adicionales por daños con monto motivo y observación</v>
      </c>
      <c r="C25" s="24" t="str">
        <f>IFERROR(INDEX(Requerimientos!$C:$C,MATCH($A25,Requerimientos!$A:$A,0)),"")</f>
        <v>Administrador de hotel</v>
      </c>
      <c r="D25" s="24" t="str">
        <f>IFERROR(INDEX(Requerimientos!$I:$I,MATCH($A25,Requerimientos!$A:$A,0)),"")</f>
        <v>Firebase Database</v>
      </c>
      <c r="E25" s="24" t="str">
        <f>IFERROR(INDEX(Requerimientos!$G:$G,MATCH($A25,Requerimientos!$A:$A,0)),"")</f>
        <v>Media</v>
      </c>
      <c r="F25" s="24" t="str">
        <f>IFERROR(INDEX(Requerimientos!$K:$K,MATCH($A25,Requerimientos!$A:$A,0)),"")</f>
        <v>Pendiente</v>
      </c>
      <c r="G25" s="24" t="str">
        <f>IFERROR(INDEX(Requerimientos!$L:$L,MATCH($A25,Requerimientos!$A:$A,0)),"")</f>
        <v>Sí</v>
      </c>
      <c r="H25" s="24" t="str">
        <f>IFERROR(INDEX(Requerimientos!$J:$J,MATCH($A25,Requerimientos!$A:$A,0)),"")</f>
        <v>RF-AH-06</v>
      </c>
    </row>
    <row r="26" spans="1:8" ht="30" customHeight="1" outlineLevel="1" x14ac:dyDescent="0.25">
      <c r="A26" s="25" t="s">
        <v>182</v>
      </c>
      <c r="B26" s="3" t="str">
        <f>IFERROR(INDEX(Requerimientos!$E:$E,MATCH($A26,Requerimientos!$A:$A,0)),"")</f>
        <v>Acceder a la app móvil una vez habilitado</v>
      </c>
      <c r="C26" s="24" t="str">
        <f>IFERROR(INDEX(Requerimientos!$C:$C,MATCH($A26,Requerimientos!$A:$A,0)),"")</f>
        <v>Taxista</v>
      </c>
      <c r="D26" s="24" t="str">
        <f>IFERROR(INDEX(Requerimientos!$I:$I,MATCH($A26,Requerimientos!$A:$A,0)),"")</f>
        <v>Firebase Authentication</v>
      </c>
      <c r="E26" s="24" t="str">
        <f>IFERROR(INDEX(Requerimientos!$G:$G,MATCH($A26,Requerimientos!$A:$A,0)),"")</f>
        <v>Alta</v>
      </c>
      <c r="F26" s="24" t="str">
        <f>IFERROR(INDEX(Requerimientos!$K:$K,MATCH($A26,Requerimientos!$A:$A,0)),"")</f>
        <v>Pendiente</v>
      </c>
      <c r="G26" s="24" t="str">
        <f>IFERROR(INDEX(Requerimientos!$L:$L,MATCH($A26,Requerimientos!$A:$A,0)),"")</f>
        <v>No</v>
      </c>
      <c r="H26" s="24" t="str">
        <f>IFERROR(INDEX(Requerimientos!$J:$J,MATCH($A26,Requerimientos!$A:$A,0)),"")</f>
        <v>RF-SA-03</v>
      </c>
    </row>
    <row r="27" spans="1:8" ht="30" customHeight="1" outlineLevel="1" x14ac:dyDescent="0.25">
      <c r="A27" s="25" t="s">
        <v>215</v>
      </c>
      <c r="B27" s="3" t="str">
        <f>IFERROR(INDEX(Requerimientos!$E:$E,MATCH($A27,Requerimientos!$A:$A,0)),"")</f>
        <v>Autoregistrarse y quedar habilitado automáticamente</v>
      </c>
      <c r="C27" s="24" t="str">
        <f>IFERROR(INDEX(Requerimientos!$C:$C,MATCH($A27,Requerimientos!$A:$A,0)),"")</f>
        <v>Cliente</v>
      </c>
      <c r="D27" s="24" t="str">
        <f>IFERROR(INDEX(Requerimientos!$I:$I,MATCH($A27,Requerimientos!$A:$A,0)),"")</f>
        <v>Firebase Authentication</v>
      </c>
      <c r="E27" s="24" t="str">
        <f>IFERROR(INDEX(Requerimientos!$G:$G,MATCH($A27,Requerimientos!$A:$A,0)),"")</f>
        <v>Alta</v>
      </c>
      <c r="F27" s="24" t="str">
        <f>IFERROR(INDEX(Requerimientos!$K:$K,MATCH($A27,Requerimientos!$A:$A,0)),"")</f>
        <v>Pendiente</v>
      </c>
      <c r="G27" s="24" t="str">
        <f>IFERROR(INDEX(Requerimientos!$L:$L,MATCH($A27,Requerimientos!$A:$A,0)),"")</f>
        <v>Parcial</v>
      </c>
      <c r="H27" s="24">
        <f>IFERROR(INDEX(Requerimientos!$J:$J,MATCH($A27,Requerimientos!$A:$A,0)),"")</f>
        <v>0</v>
      </c>
    </row>
    <row r="28" spans="1:8" ht="30" customHeight="1" outlineLevel="1" x14ac:dyDescent="0.25">
      <c r="A28" s="25" t="s">
        <v>135</v>
      </c>
      <c r="B28" s="3" t="str">
        <f>IFERROR(INDEX(Requerimientos!$E:$E,MATCH($A28,Requerimientos!$A:$A,0)),"")</f>
        <v>Reservar con tarjeta de crédito o débito simulada</v>
      </c>
      <c r="C28" s="24" t="str">
        <f>IFERROR(INDEX(Requerimientos!$C:$C,MATCH($A28,Requerimientos!$A:$A,0)),"")</f>
        <v>Cliente</v>
      </c>
      <c r="D28" s="24" t="str">
        <f>IFERROR(INDEX(Requerimientos!$I:$I,MATCH($A28,Requerimientos!$A:$A,0)),"")</f>
        <v>Firebase Database</v>
      </c>
      <c r="E28" s="24" t="str">
        <f>IFERROR(INDEX(Requerimientos!$G:$G,MATCH($A28,Requerimientos!$A:$A,0)),"")</f>
        <v>Alta</v>
      </c>
      <c r="F28" s="24" t="str">
        <f>IFERROR(INDEX(Requerimientos!$K:$K,MATCH($A28,Requerimientos!$A:$A,0)),"")</f>
        <v>Pendiente</v>
      </c>
      <c r="G28" s="24" t="str">
        <f>IFERROR(INDEX(Requerimientos!$L:$L,MATCH($A28,Requerimientos!$A:$A,0)),"")</f>
        <v>Sí</v>
      </c>
      <c r="H28" s="24" t="str">
        <f>IFERROR(INDEX(Requerimientos!$J:$J,MATCH($A28,Requerimientos!$A:$A,0)),"")</f>
        <v>RF-CL-02</v>
      </c>
    </row>
    <row r="29" spans="1:8" ht="30" customHeight="1" outlineLevel="1" x14ac:dyDescent="0.25">
      <c r="A29" s="25" t="s">
        <v>161</v>
      </c>
      <c r="B29" s="3" t="str">
        <f>IFERROR(INDEX(Requerimientos!$E:$E,MATCH($A29,Requerimientos!$A:$A,0)),"")</f>
        <v>Hacer checkout y registrar valoración y observaciones obligatorias</v>
      </c>
      <c r="C29" s="24" t="str">
        <f>IFERROR(INDEX(Requerimientos!$C:$C,MATCH($A29,Requerimientos!$A:$A,0)),"")</f>
        <v>Cliente</v>
      </c>
      <c r="D29" s="24" t="str">
        <f>IFERROR(INDEX(Requerimientos!$I:$I,MATCH($A29,Requerimientos!$A:$A,0)),"")</f>
        <v>Firebase Database</v>
      </c>
      <c r="E29" s="24" t="str">
        <f>IFERROR(INDEX(Requerimientos!$G:$G,MATCH($A29,Requerimientos!$A:$A,0)),"")</f>
        <v>Alta</v>
      </c>
      <c r="F29" s="24" t="str">
        <f>IFERROR(INDEX(Requerimientos!$K:$K,MATCH($A29,Requerimientos!$A:$A,0)),"")</f>
        <v>Pendiente</v>
      </c>
      <c r="G29" s="24" t="str">
        <f>IFERROR(INDEX(Requerimientos!$L:$L,MATCH($A29,Requerimientos!$A:$A,0)),"")</f>
        <v>Sí</v>
      </c>
      <c r="H29" s="24" t="str">
        <f>IFERROR(INDEX(Requerimientos!$J:$J,MATCH($A29,Requerimientos!$A:$A,0)),"")</f>
        <v>RF-CL-03</v>
      </c>
    </row>
    <row r="30" spans="1:8" ht="30" customHeight="1" outlineLevel="1" x14ac:dyDescent="0.25">
      <c r="A30" s="25" t="s">
        <v>169</v>
      </c>
      <c r="B30" s="3" t="str">
        <f>IFERROR(INDEX(Requerimientos!$E:$E,MATCH($A30,Requerimientos!$A:$A,0)),"")</f>
        <v>Chat privado con el hotel entre la confirmación de la reserva y el fin del checkout</v>
      </c>
      <c r="C30" s="24" t="str">
        <f>IFERROR(INDEX(Requerimientos!$C:$C,MATCH($A30,Requerimientos!$A:$A,0)),"")</f>
        <v>Cliente</v>
      </c>
      <c r="D30" s="24" t="str">
        <f>IFERROR(INDEX(Requerimientos!$I:$I,MATCH($A30,Requerimientos!$A:$A,0)),"")</f>
        <v>Firebase Database</v>
      </c>
      <c r="E30" s="24" t="str">
        <f>IFERROR(INDEX(Requerimientos!$G:$G,MATCH($A30,Requerimientos!$A:$A,0)),"")</f>
        <v>Alta</v>
      </c>
      <c r="F30" s="24" t="str">
        <f>IFERROR(INDEX(Requerimientos!$K:$K,MATCH($A30,Requerimientos!$A:$A,0)),"")</f>
        <v>Pendiente</v>
      </c>
      <c r="G30" s="24" t="str">
        <f>IFERROR(INDEX(Requerimientos!$L:$L,MATCH($A30,Requerimientos!$A:$A,0)),"")</f>
        <v>Parcial</v>
      </c>
      <c r="H30" s="24" t="str">
        <f>IFERROR(INDEX(Requerimientos!$J:$J,MATCH($A30,Requerimientos!$A:$A,0)),"")</f>
        <v>RF-CL-03</v>
      </c>
    </row>
    <row r="31" spans="1:8" ht="30" customHeight="1" outlineLevel="1" x14ac:dyDescent="0.25">
      <c r="A31" s="25" t="s">
        <v>243</v>
      </c>
      <c r="B31" s="3" t="str">
        <f>IFERROR(INDEX(Requerimientos!$E:$E,MATCH($A31,Requerimientos!$A:$A,0)),"")</f>
        <v>Una habitación no puede tener reservas de distintos clientes con períodos superpuestos</v>
      </c>
      <c r="C31" s="24" t="str">
        <f>IFERROR(INDEX(Requerimientos!$C:$C,MATCH($A31,Requerimientos!$A:$A,0)),"")</f>
        <v>Transversal</v>
      </c>
      <c r="D31" s="24" t="str">
        <f>IFERROR(INDEX(Requerimientos!$I:$I,MATCH($A31,Requerimientos!$A:$A,0)),"")</f>
        <v>Firebase Database</v>
      </c>
      <c r="E31" s="24" t="str">
        <f>IFERROR(INDEX(Requerimientos!$G:$G,MATCH($A31,Requerimientos!$A:$A,0)),"")</f>
        <v>Alta</v>
      </c>
      <c r="F31" s="24" t="str">
        <f>IFERROR(INDEX(Requerimientos!$K:$K,MATCH($A31,Requerimientos!$A:$A,0)),"")</f>
        <v>Pendiente</v>
      </c>
      <c r="G31" s="24" t="str">
        <f>IFERROR(INDEX(Requerimientos!$L:$L,MATCH($A31,Requerimientos!$A:$A,0)),"")</f>
        <v>Sí</v>
      </c>
      <c r="H31" s="24" t="str">
        <f>IFERROR(INDEX(Requerimientos!$J:$J,MATCH($A31,Requerimientos!$A:$A,0)),"")</f>
        <v>RF-CL-03</v>
      </c>
    </row>
    <row r="32" spans="1:8" ht="30" customHeight="1" outlineLevel="1" x14ac:dyDescent="0.25">
      <c r="A32" s="25" t="s">
        <v>247</v>
      </c>
      <c r="B32" s="3" t="str">
        <f>IFERROR(INDEX(Requerimientos!$E:$E,MATCH($A32,Requerimientos!$A:$A,0)),"")</f>
        <v>Un mismo cliente no puede tener reservas con fechas de alojamiento superpuestas</v>
      </c>
      <c r="C32" s="24" t="str">
        <f>IFERROR(INDEX(Requerimientos!$C:$C,MATCH($A32,Requerimientos!$A:$A,0)),"")</f>
        <v>Transversal</v>
      </c>
      <c r="D32" s="24" t="str">
        <f>IFERROR(INDEX(Requerimientos!$I:$I,MATCH($A32,Requerimientos!$A:$A,0)),"")</f>
        <v>Firebase Database</v>
      </c>
      <c r="E32" s="24" t="str">
        <f>IFERROR(INDEX(Requerimientos!$G:$G,MATCH($A32,Requerimientos!$A:$A,0)),"")</f>
        <v>Alta</v>
      </c>
      <c r="F32" s="24" t="str">
        <f>IFERROR(INDEX(Requerimientos!$K:$K,MATCH($A32,Requerimientos!$A:$A,0)),"")</f>
        <v>Pendiente</v>
      </c>
      <c r="G32" s="24" t="str">
        <f>IFERROR(INDEX(Requerimientos!$L:$L,MATCH($A32,Requerimientos!$A:$A,0)),"")</f>
        <v>Sí</v>
      </c>
      <c r="H32" s="24" t="str">
        <f>IFERROR(INDEX(Requerimientos!$J:$J,MATCH($A32,Requerimientos!$A:$A,0)),"")</f>
        <v>RF-CL-03</v>
      </c>
    </row>
    <row r="33" spans="1:8" ht="30" customHeight="1" outlineLevel="1" x14ac:dyDescent="0.25">
      <c r="A33" s="25" t="s">
        <v>250</v>
      </c>
      <c r="B33" s="3" t="str">
        <f>IFERROR(INDEX(Requerimientos!$E:$E,MATCH($A33,Requerimientos!$A:$A,0)),"")</f>
        <v>Login único: tras autenticar se resuelve el rol y se navega al flujo correspondiente</v>
      </c>
      <c r="C33" s="24" t="str">
        <f>IFERROR(INDEX(Requerimientos!$C:$C,MATCH($A33,Requerimientos!$A:$A,0)),"")</f>
        <v>Transversal</v>
      </c>
      <c r="D33" s="24" t="str">
        <f>IFERROR(INDEX(Requerimientos!$I:$I,MATCH($A33,Requerimientos!$A:$A,0)),"")</f>
        <v>Firebase Authentication</v>
      </c>
      <c r="E33" s="24" t="str">
        <f>IFERROR(INDEX(Requerimientos!$G:$G,MATCH($A33,Requerimientos!$A:$A,0)),"")</f>
        <v>Alta</v>
      </c>
      <c r="F33" s="24" t="str">
        <f>IFERROR(INDEX(Requerimientos!$K:$K,MATCH($A33,Requerimientos!$A:$A,0)),"")</f>
        <v>Pendiente</v>
      </c>
      <c r="G33" s="24" t="str">
        <f>IFERROR(INDEX(Requerimientos!$L:$L,MATCH($A33,Requerimientos!$A:$A,0)),"")</f>
        <v>Sí</v>
      </c>
      <c r="H33" s="24">
        <f>IFERROR(INDEX(Requerimientos!$J:$J,MATCH($A33,Requerimientos!$A:$A,0)),"")</f>
        <v>0</v>
      </c>
    </row>
    <row r="34" spans="1:8" ht="30" customHeight="1" outlineLevel="1" x14ac:dyDescent="0.25">
      <c r="A34" s="25" t="s">
        <v>253</v>
      </c>
      <c r="B34" s="3" t="str">
        <f>IFERROR(INDEX(Requerimientos!$E:$E,MATCH($A34,Requerimientos!$A:$A,0)),"")</f>
        <v>Los mensajes de chat persisten con fecha y hora</v>
      </c>
      <c r="C34" s="24" t="str">
        <f>IFERROR(INDEX(Requerimientos!$C:$C,MATCH($A34,Requerimientos!$A:$A,0)),"")</f>
        <v>Transversal</v>
      </c>
      <c r="D34" s="24" t="str">
        <f>IFERROR(INDEX(Requerimientos!$I:$I,MATCH($A34,Requerimientos!$A:$A,0)),"")</f>
        <v>Firebase Database</v>
      </c>
      <c r="E34" s="24" t="str">
        <f>IFERROR(INDEX(Requerimientos!$G:$G,MATCH($A34,Requerimientos!$A:$A,0)),"")</f>
        <v>Alta</v>
      </c>
      <c r="F34" s="24" t="str">
        <f>IFERROR(INDEX(Requerimientos!$K:$K,MATCH($A34,Requerimientos!$A:$A,0)),"")</f>
        <v>Pendiente</v>
      </c>
      <c r="G34" s="24" t="str">
        <f>IFERROR(INDEX(Requerimientos!$L:$L,MATCH($A34,Requerimientos!$A:$A,0)),"")</f>
        <v>Sí</v>
      </c>
      <c r="H34" s="24" t="str">
        <f>IFERROR(INDEX(Requerimientos!$J:$J,MATCH($A34,Requerimientos!$A:$A,0)),"")</f>
        <v>RF-CL-07</v>
      </c>
    </row>
    <row r="35" spans="1:8" ht="30" customHeight="1" outlineLevel="1" x14ac:dyDescent="0.25">
      <c r="A35" s="25" t="s">
        <v>256</v>
      </c>
      <c r="B35" s="3" t="str">
        <f>IFERROR(INDEX(Requerimientos!$E:$E,MATCH($A35,Requerimientos!$A:$A,0)),"")</f>
        <v>Las contraseñas nunca se almacenan en texto plano</v>
      </c>
      <c r="C35" s="24" t="str">
        <f>IFERROR(INDEX(Requerimientos!$C:$C,MATCH($A35,Requerimientos!$A:$A,0)),"")</f>
        <v>Transversal</v>
      </c>
      <c r="D35" s="24" t="str">
        <f>IFERROR(INDEX(Requerimientos!$I:$I,MATCH($A35,Requerimientos!$A:$A,0)),"")</f>
        <v>Firebase Authentication</v>
      </c>
      <c r="E35" s="24" t="str">
        <f>IFERROR(INDEX(Requerimientos!$G:$G,MATCH($A35,Requerimientos!$A:$A,0)),"")</f>
        <v>Alta</v>
      </c>
      <c r="F35" s="24" t="str">
        <f>IFERROR(INDEX(Requerimientos!$K:$K,MATCH($A35,Requerimientos!$A:$A,0)),"")</f>
        <v>Pendiente</v>
      </c>
      <c r="G35" s="24" t="str">
        <f>IFERROR(INDEX(Requerimientos!$L:$L,MATCH($A35,Requerimientos!$A:$A,0)),"")</f>
        <v>NA</v>
      </c>
      <c r="H35" s="24">
        <f>IFERROR(INDEX(Requerimientos!$J:$J,MATCH($A35,Requerimientos!$A:$A,0)),"")</f>
        <v>0</v>
      </c>
    </row>
    <row r="36" spans="1:8" ht="30" customHeight="1" outlineLevel="1" x14ac:dyDescent="0.25">
      <c r="A36" s="25" t="s">
        <v>259</v>
      </c>
      <c r="B36" s="3" t="str">
        <f>IFERROR(INDEX(Requerimientos!$E:$E,MATCH($A36,Requerimientos!$A:$A,0)),"")</f>
        <v>Las operaciones están restringidas según el rol autenticado</v>
      </c>
      <c r="C36" s="24" t="str">
        <f>IFERROR(INDEX(Requerimientos!$C:$C,MATCH($A36,Requerimientos!$A:$A,0)),"")</f>
        <v>Transversal</v>
      </c>
      <c r="D36" s="24" t="str">
        <f>IFERROR(INDEX(Requerimientos!$I:$I,MATCH($A36,Requerimientos!$A:$A,0)),"")</f>
        <v>Firebase Database</v>
      </c>
      <c r="E36" s="24" t="str">
        <f>IFERROR(INDEX(Requerimientos!$G:$G,MATCH($A36,Requerimientos!$A:$A,0)),"")</f>
        <v>Alta</v>
      </c>
      <c r="F36" s="24" t="str">
        <f>IFERROR(INDEX(Requerimientos!$K:$K,MATCH($A36,Requerimientos!$A:$A,0)),"")</f>
        <v>Pendiente</v>
      </c>
      <c r="G36" s="24" t="str">
        <f>IFERROR(INDEX(Requerimientos!$L:$L,MATCH($A36,Requerimientos!$A:$A,0)),"")</f>
        <v>NA</v>
      </c>
      <c r="H36" s="24">
        <f>IFERROR(INDEX(Requerimientos!$J:$J,MATCH($A36,Requerimientos!$A:$A,0)),"")</f>
        <v>0</v>
      </c>
    </row>
    <row r="37" spans="1:8" ht="30" customHeight="1" outlineLevel="1" x14ac:dyDescent="0.25">
      <c r="A37" s="25" t="s">
        <v>262</v>
      </c>
      <c r="B37" s="3" t="str">
        <f>IFERROR(INDEX(Requerimientos!$E:$E,MATCH($A37,Requerimientos!$A:$A,0)),"")</f>
        <v>Un cliente solo accede a sus propios datos</v>
      </c>
      <c r="C37" s="24" t="str">
        <f>IFERROR(INDEX(Requerimientos!$C:$C,MATCH($A37,Requerimientos!$A:$A,0)),"")</f>
        <v>Transversal</v>
      </c>
      <c r="D37" s="24" t="str">
        <f>IFERROR(INDEX(Requerimientos!$I:$I,MATCH($A37,Requerimientos!$A:$A,0)),"")</f>
        <v>Firebase Database</v>
      </c>
      <c r="E37" s="24" t="str">
        <f>IFERROR(INDEX(Requerimientos!$G:$G,MATCH($A37,Requerimientos!$A:$A,0)),"")</f>
        <v>Alta</v>
      </c>
      <c r="F37" s="24" t="str">
        <f>IFERROR(INDEX(Requerimientos!$K:$K,MATCH($A37,Requerimientos!$A:$A,0)),"")</f>
        <v>Pendiente</v>
      </c>
      <c r="G37" s="24" t="str">
        <f>IFERROR(INDEX(Requerimientos!$L:$L,MATCH($A37,Requerimientos!$A:$A,0)),"")</f>
        <v>NA</v>
      </c>
      <c r="H37" s="24" t="str">
        <f>IFERROR(INDEX(Requerimientos!$J:$J,MATCH($A37,Requerimientos!$A:$A,0)),"")</f>
        <v>RNF-02</v>
      </c>
    </row>
    <row r="38" spans="1:8" ht="30" customHeight="1" outlineLevel="1" x14ac:dyDescent="0.25">
      <c r="A38" s="25" t="s">
        <v>265</v>
      </c>
      <c r="B38" s="3" t="str">
        <f>IFERROR(INDEX(Requerimientos!$E:$E,MATCH($A38,Requerimientos!$A:$A,0)),"")</f>
        <v>La persistencia de la app principal es una base de datos NoSQL</v>
      </c>
      <c r="C38" s="24" t="str">
        <f>IFERROR(INDEX(Requerimientos!$C:$C,MATCH($A38,Requerimientos!$A:$A,0)),"")</f>
        <v>Transversal</v>
      </c>
      <c r="D38" s="24" t="str">
        <f>IFERROR(INDEX(Requerimientos!$I:$I,MATCH($A38,Requerimientos!$A:$A,0)),"")</f>
        <v>Firebase Database</v>
      </c>
      <c r="E38" s="24" t="str">
        <f>IFERROR(INDEX(Requerimientos!$G:$G,MATCH($A38,Requerimientos!$A:$A,0)),"")</f>
        <v>Alta</v>
      </c>
      <c r="F38" s="24" t="str">
        <f>IFERROR(INDEX(Requerimientos!$K:$K,MATCH($A38,Requerimientos!$A:$A,0)),"")</f>
        <v>Pendiente</v>
      </c>
      <c r="G38" s="24" t="str">
        <f>IFERROR(INDEX(Requerimientos!$L:$L,MATCH($A38,Requerimientos!$A:$A,0)),"")</f>
        <v>NA</v>
      </c>
      <c r="H38" s="24">
        <f>IFERROR(INDEX(Requerimientos!$J:$J,MATCH($A38,Requerimientos!$A:$A,0)),"")</f>
        <v>0</v>
      </c>
    </row>
    <row r="39" spans="1:8" ht="30" customHeight="1" outlineLevel="1" x14ac:dyDescent="0.25">
      <c r="A39" s="25" t="s">
        <v>139</v>
      </c>
      <c r="B39" s="3" t="str">
        <f>IFERROR(INDEX(Requerimientos!$E:$E,MATCH($A39,Requerimientos!$A:$A,0)),"")</f>
        <v>El sistema registra los eventos relevantes en logs consultables por el Superadmin</v>
      </c>
      <c r="C39" s="24" t="str">
        <f>IFERROR(INDEX(Requerimientos!$C:$C,MATCH($A39,Requerimientos!$A:$A,0)),"")</f>
        <v>Transversal</v>
      </c>
      <c r="D39" s="24" t="str">
        <f>IFERROR(INDEX(Requerimientos!$I:$I,MATCH($A39,Requerimientos!$A:$A,0)),"")</f>
        <v>Firebase Database</v>
      </c>
      <c r="E39" s="24" t="str">
        <f>IFERROR(INDEX(Requerimientos!$G:$G,MATCH($A39,Requerimientos!$A:$A,0)),"")</f>
        <v>Media</v>
      </c>
      <c r="F39" s="24" t="str">
        <f>IFERROR(INDEX(Requerimientos!$K:$K,MATCH($A39,Requerimientos!$A:$A,0)),"")</f>
        <v>Pendiente</v>
      </c>
      <c r="G39" s="24" t="str">
        <f>IFERROR(INDEX(Requerimientos!$L:$L,MATCH($A39,Requerimientos!$A:$A,0)),"")</f>
        <v>NA</v>
      </c>
      <c r="H39" s="24">
        <f>IFERROR(INDEX(Requerimientos!$J:$J,MATCH($A39,Requerimientos!$A:$A,0)),"")</f>
        <v>0</v>
      </c>
    </row>
    <row r="41" spans="1:8" ht="21.95" customHeight="1" x14ac:dyDescent="0.25">
      <c r="A41" s="28" t="s">
        <v>295</v>
      </c>
      <c r="B41" s="29"/>
      <c r="C41" s="29"/>
      <c r="D41" s="29"/>
      <c r="E41" s="29"/>
      <c r="F41" s="29"/>
      <c r="G41" s="29"/>
      <c r="H41" s="29"/>
    </row>
    <row r="42" spans="1:8" ht="30" customHeight="1" outlineLevel="1" x14ac:dyDescent="0.25">
      <c r="A42" s="25" t="s">
        <v>131</v>
      </c>
      <c r="B42" s="3" t="str">
        <f>IFERROR(INDEX(Requerimientos!$E:$E,MATCH($A42,Requerimientos!$A:$A,0)),"")</f>
        <v>Generar el reporte de reservas por hotel</v>
      </c>
      <c r="C42" s="24" t="str">
        <f>IFERROR(INDEX(Requerimientos!$C:$C,MATCH($A42,Requerimientos!$A:$A,0)),"")</f>
        <v>Superadmin</v>
      </c>
      <c r="D42" s="24" t="str">
        <f>IFERROR(INDEX(Requerimientos!$I:$I,MATCH($A42,Requerimientos!$A:$A,0)),"")</f>
        <v>Presentación prefinal</v>
      </c>
      <c r="E42" s="24" t="str">
        <f>IFERROR(INDEX(Requerimientos!$G:$G,MATCH($A42,Requerimientos!$A:$A,0)),"")</f>
        <v>Media</v>
      </c>
      <c r="F42" s="24" t="str">
        <f>IFERROR(INDEX(Requerimientos!$K:$K,MATCH($A42,Requerimientos!$A:$A,0)),"")</f>
        <v>Pendiente</v>
      </c>
      <c r="G42" s="24" t="str">
        <f>IFERROR(INDEX(Requerimientos!$L:$L,MATCH($A42,Requerimientos!$A:$A,0)),"")</f>
        <v>No</v>
      </c>
      <c r="H42" s="24" t="str">
        <f>IFERROR(INDEX(Requerimientos!$J:$J,MATCH($A42,Requerimientos!$A:$A,0)),"")</f>
        <v>RF-CL-03</v>
      </c>
    </row>
    <row r="43" spans="1:8" ht="30" customHeight="1" outlineLevel="1" x14ac:dyDescent="0.25">
      <c r="A43" s="25" t="s">
        <v>136</v>
      </c>
      <c r="B43" s="3" t="str">
        <f>IFERROR(INDEX(Requerimientos!$E:$E,MATCH($A43,Requerimientos!$A:$A,0)),"")</f>
        <v>Consultar el visor de logs de eventos del sistema</v>
      </c>
      <c r="C43" s="24" t="str">
        <f>IFERROR(INDEX(Requerimientos!$C:$C,MATCH($A43,Requerimientos!$A:$A,0)),"")</f>
        <v>Superadmin</v>
      </c>
      <c r="D43" s="24" t="str">
        <f>IFERROR(INDEX(Requerimientos!$I:$I,MATCH($A43,Requerimientos!$A:$A,0)),"")</f>
        <v>Presentación prefinal</v>
      </c>
      <c r="E43" s="24" t="str">
        <f>IFERROR(INDEX(Requerimientos!$G:$G,MATCH($A43,Requerimientos!$A:$A,0)),"")</f>
        <v>Media</v>
      </c>
      <c r="F43" s="24" t="str">
        <f>IFERROR(INDEX(Requerimientos!$K:$K,MATCH($A43,Requerimientos!$A:$A,0)),"")</f>
        <v>Pendiente</v>
      </c>
      <c r="G43" s="24" t="str">
        <f>IFERROR(INDEX(Requerimientos!$L:$L,MATCH($A43,Requerimientos!$A:$A,0)),"")</f>
        <v>No</v>
      </c>
      <c r="H43" s="24" t="str">
        <f>IFERROR(INDEX(Requerimientos!$J:$J,MATCH($A43,Requerimientos!$A:$A,0)),"")</f>
        <v>RNF-04</v>
      </c>
    </row>
    <row r="44" spans="1:8" ht="30" customHeight="1" outlineLevel="1" x14ac:dyDescent="0.25">
      <c r="A44" s="25" t="s">
        <v>173</v>
      </c>
      <c r="B44" s="3" t="str">
        <f>IFERROR(INDEX(Requerimientos!$E:$E,MATCH($A44,Requerimientos!$A:$A,0)),"")</f>
        <v>Ver el estado del taxista asignado en camino a recoger y llegó al destino</v>
      </c>
      <c r="C44" s="24" t="str">
        <f>IFERROR(INDEX(Requerimientos!$C:$C,MATCH($A44,Requerimientos!$A:$A,0)),"")</f>
        <v>Administrador de hotel</v>
      </c>
      <c r="D44" s="24" t="str">
        <f>IFERROR(INDEX(Requerimientos!$I:$I,MATCH($A44,Requerimientos!$A:$A,0)),"")</f>
        <v>Presentación prefinal</v>
      </c>
      <c r="E44" s="24" t="str">
        <f>IFERROR(INDEX(Requerimientos!$G:$G,MATCH($A44,Requerimientos!$A:$A,0)),"")</f>
        <v>Media</v>
      </c>
      <c r="F44" s="24" t="str">
        <f>IFERROR(INDEX(Requerimientos!$K:$K,MATCH($A44,Requerimientos!$A:$A,0)),"")</f>
        <v>Pendiente</v>
      </c>
      <c r="G44" s="24" t="str">
        <f>IFERROR(INDEX(Requerimientos!$L:$L,MATCH($A44,Requerimientos!$A:$A,0)),"")</f>
        <v>Sí</v>
      </c>
      <c r="H44" s="24" t="str">
        <f>IFERROR(INDEX(Requerimientos!$J:$J,MATCH($A44,Requerimientos!$A:$A,0)),"")</f>
        <v>RF-TX-06</v>
      </c>
    </row>
    <row r="45" spans="1:8" ht="30" customHeight="1" outlineLevel="1" x14ac:dyDescent="0.25">
      <c r="A45" s="25" t="s">
        <v>177</v>
      </c>
      <c r="B45" s="3" t="str">
        <f>IFERROR(INDEX(Requerimientos!$E:$E,MATCH($A45,Requerimientos!$A:$A,0)),"")</f>
        <v>Reporte de ingresos por servicios adicionales ordenado de menor a mayor</v>
      </c>
      <c r="C45" s="24" t="str">
        <f>IFERROR(INDEX(Requerimientos!$C:$C,MATCH($A45,Requerimientos!$A:$A,0)),"")</f>
        <v>Administrador de hotel</v>
      </c>
      <c r="D45" s="24" t="str">
        <f>IFERROR(INDEX(Requerimientos!$I:$I,MATCH($A45,Requerimientos!$A:$A,0)),"")</f>
        <v>Presentación prefinal</v>
      </c>
      <c r="E45" s="24" t="str">
        <f>IFERROR(INDEX(Requerimientos!$G:$G,MATCH($A45,Requerimientos!$A:$A,0)),"")</f>
        <v>Media</v>
      </c>
      <c r="F45" s="24" t="str">
        <f>IFERROR(INDEX(Requerimientos!$K:$K,MATCH($A45,Requerimientos!$A:$A,0)),"")</f>
        <v>Pendiente</v>
      </c>
      <c r="G45" s="24" t="str">
        <f>IFERROR(INDEX(Requerimientos!$L:$L,MATCH($A45,Requerimientos!$A:$A,0)),"")</f>
        <v>Parcial</v>
      </c>
      <c r="H45" s="24" t="str">
        <f>IFERROR(INDEX(Requerimientos!$J:$J,MATCH($A45,Requerimientos!$A:$A,0)),"")</f>
        <v>RF-AH-04</v>
      </c>
    </row>
    <row r="46" spans="1:8" ht="30" customHeight="1" outlineLevel="1" x14ac:dyDescent="0.25">
      <c r="A46" s="25" t="s">
        <v>185</v>
      </c>
      <c r="B46" s="3" t="str">
        <f>IFERROR(INDEX(Requerimientos!$E:$E,MATCH($A46,Requerimientos!$A:$A,0)),"")</f>
        <v>Ver hoteles y pedidos disponibles</v>
      </c>
      <c r="C46" s="24" t="str">
        <f>IFERROR(INDEX(Requerimientos!$C:$C,MATCH($A46,Requerimientos!$A:$A,0)),"")</f>
        <v>Taxista</v>
      </c>
      <c r="D46" s="24" t="str">
        <f>IFERROR(INDEX(Requerimientos!$I:$I,MATCH($A46,Requerimientos!$A:$A,0)),"")</f>
        <v>Presentación prefinal</v>
      </c>
      <c r="E46" s="24" t="str">
        <f>IFERROR(INDEX(Requerimientos!$G:$G,MATCH($A46,Requerimientos!$A:$A,0)),"")</f>
        <v>Alta</v>
      </c>
      <c r="F46" s="24" t="str">
        <f>IFERROR(INDEX(Requerimientos!$K:$K,MATCH($A46,Requerimientos!$A:$A,0)),"")</f>
        <v>Pendiente</v>
      </c>
      <c r="G46" s="24" t="str">
        <f>IFERROR(INDEX(Requerimientos!$L:$L,MATCH($A46,Requerimientos!$A:$A,0)),"")</f>
        <v>No</v>
      </c>
      <c r="H46" s="24" t="str">
        <f>IFERROR(INDEX(Requerimientos!$J:$J,MATCH($A46,Requerimientos!$A:$A,0)),"")</f>
        <v>RF-CL-08</v>
      </c>
    </row>
    <row r="47" spans="1:8" ht="30" customHeight="1" outlineLevel="1" x14ac:dyDescent="0.25">
      <c r="A47" s="25" t="s">
        <v>189</v>
      </c>
      <c r="B47" s="3" t="str">
        <f>IFERROR(INDEX(Requerimientos!$E:$E,MATCH($A47,Requerimientos!$A:$A,0)),"")</f>
        <v>Aceptar un pedido que deja de estar disponible para los demás</v>
      </c>
      <c r="C47" s="24" t="str">
        <f>IFERROR(INDEX(Requerimientos!$C:$C,MATCH($A47,Requerimientos!$A:$A,0)),"")</f>
        <v>Taxista</v>
      </c>
      <c r="D47" s="24" t="str">
        <f>IFERROR(INDEX(Requerimientos!$I:$I,MATCH($A47,Requerimientos!$A:$A,0)),"")</f>
        <v>Presentación prefinal</v>
      </c>
      <c r="E47" s="24" t="str">
        <f>IFERROR(INDEX(Requerimientos!$G:$G,MATCH($A47,Requerimientos!$A:$A,0)),"")</f>
        <v>Alta</v>
      </c>
      <c r="F47" s="24" t="str">
        <f>IFERROR(INDEX(Requerimientos!$K:$K,MATCH($A47,Requerimientos!$A:$A,0)),"")</f>
        <v>Pendiente</v>
      </c>
      <c r="G47" s="24" t="str">
        <f>IFERROR(INDEX(Requerimientos!$L:$L,MATCH($A47,Requerimientos!$A:$A,0)),"")</f>
        <v>No</v>
      </c>
      <c r="H47" s="24" t="str">
        <f>IFERROR(INDEX(Requerimientos!$J:$J,MATCH($A47,Requerimientos!$A:$A,0)),"")</f>
        <v>RF-TX-03</v>
      </c>
    </row>
    <row r="48" spans="1:8" ht="30" customHeight="1" outlineLevel="1" x14ac:dyDescent="0.25">
      <c r="A48" s="25" t="s">
        <v>193</v>
      </c>
      <c r="B48" s="3" t="str">
        <f>IFERROR(INDEX(Requerimientos!$E:$E,MATCH($A48,Requerimientos!$A:$A,0)),"")</f>
        <v>Registrar automáticamente su ubicación durante el servicio activo</v>
      </c>
      <c r="C48" s="24" t="str">
        <f>IFERROR(INDEX(Requerimientos!$C:$C,MATCH($A48,Requerimientos!$A:$A,0)),"")</f>
        <v>Taxista</v>
      </c>
      <c r="D48" s="24" t="str">
        <f>IFERROR(INDEX(Requerimientos!$I:$I,MATCH($A48,Requerimientos!$A:$A,0)),"")</f>
        <v>Presentación prefinal</v>
      </c>
      <c r="E48" s="24" t="str">
        <f>IFERROR(INDEX(Requerimientos!$G:$G,MATCH($A48,Requerimientos!$A:$A,0)),"")</f>
        <v>Alta</v>
      </c>
      <c r="F48" s="24" t="str">
        <f>IFERROR(INDEX(Requerimientos!$K:$K,MATCH($A48,Requerimientos!$A:$A,0)),"")</f>
        <v>Pendiente</v>
      </c>
      <c r="G48" s="24" t="str">
        <f>IFERROR(INDEX(Requerimientos!$L:$L,MATCH($A48,Requerimientos!$A:$A,0)),"")</f>
        <v>No</v>
      </c>
      <c r="H48" s="24" t="str">
        <f>IFERROR(INDEX(Requerimientos!$J:$J,MATCH($A48,Requerimientos!$A:$A,0)),"")</f>
        <v>RF-TX-04</v>
      </c>
    </row>
    <row r="49" spans="1:8" ht="30" customHeight="1" outlineLevel="1" x14ac:dyDescent="0.25">
      <c r="A49" s="25" t="s">
        <v>176</v>
      </c>
      <c r="B49" s="3" t="str">
        <f>IFERROR(INDEX(Requerimientos!$E:$E,MATCH($A49,Requerimientos!$A:$A,0)),"")</f>
        <v>Actualizar los estados del servicio</v>
      </c>
      <c r="C49" s="24" t="str">
        <f>IFERROR(INDEX(Requerimientos!$C:$C,MATCH($A49,Requerimientos!$A:$A,0)),"")</f>
        <v>Taxista</v>
      </c>
      <c r="D49" s="24" t="str">
        <f>IFERROR(INDEX(Requerimientos!$I:$I,MATCH($A49,Requerimientos!$A:$A,0)),"")</f>
        <v>Presentación prefinal</v>
      </c>
      <c r="E49" s="24" t="str">
        <f>IFERROR(INDEX(Requerimientos!$G:$G,MATCH($A49,Requerimientos!$A:$A,0)),"")</f>
        <v>Alta</v>
      </c>
      <c r="F49" s="24" t="str">
        <f>IFERROR(INDEX(Requerimientos!$K:$K,MATCH($A49,Requerimientos!$A:$A,0)),"")</f>
        <v>Pendiente</v>
      </c>
      <c r="G49" s="24" t="str">
        <f>IFERROR(INDEX(Requerimientos!$L:$L,MATCH($A49,Requerimientos!$A:$A,0)),"")</f>
        <v>No</v>
      </c>
      <c r="H49" s="24" t="str">
        <f>IFERROR(INDEX(Requerimientos!$J:$J,MATCH($A49,Requerimientos!$A:$A,0)),"")</f>
        <v>RF-TX-04</v>
      </c>
    </row>
    <row r="50" spans="1:8" ht="30" customHeight="1" outlineLevel="1" x14ac:dyDescent="0.25">
      <c r="A50" s="25" t="s">
        <v>198</v>
      </c>
      <c r="B50" s="3" t="str">
        <f>IFERROR(INDEX(Requerimientos!$E:$E,MATCH($A50,Requerimientos!$A:$A,0)),"")</f>
        <v>Registrar FINALIZADO únicamente escaneando el QR del cliente</v>
      </c>
      <c r="C50" s="24" t="str">
        <f>IFERROR(INDEX(Requerimientos!$C:$C,MATCH($A50,Requerimientos!$A:$A,0)),"")</f>
        <v>Taxista</v>
      </c>
      <c r="D50" s="24" t="str">
        <f>IFERROR(INDEX(Requerimientos!$I:$I,MATCH($A50,Requerimientos!$A:$A,0)),"")</f>
        <v>Presentación prefinal</v>
      </c>
      <c r="E50" s="24" t="str">
        <f>IFERROR(INDEX(Requerimientos!$G:$G,MATCH($A50,Requerimientos!$A:$A,0)),"")</f>
        <v>Alta</v>
      </c>
      <c r="F50" s="24" t="str">
        <f>IFERROR(INDEX(Requerimientos!$K:$K,MATCH($A50,Requerimientos!$A:$A,0)),"")</f>
        <v>Pendiente</v>
      </c>
      <c r="G50" s="24" t="str">
        <f>IFERROR(INDEX(Requerimientos!$L:$L,MATCH($A50,Requerimientos!$A:$A,0)),"")</f>
        <v>No</v>
      </c>
      <c r="H50" s="24" t="str">
        <f>IFERROR(INDEX(Requerimientos!$J:$J,MATCH($A50,Requerimientos!$A:$A,0)),"")</f>
        <v>RF-CL-10</v>
      </c>
    </row>
    <row r="51" spans="1:8" ht="30" customHeight="1" outlineLevel="1" x14ac:dyDescent="0.25">
      <c r="A51" s="25" t="s">
        <v>188</v>
      </c>
      <c r="B51" s="3" t="str">
        <f>IFERROR(INDEX(Requerimientos!$E:$E,MATCH($A51,Requerimientos!$A:$A,0)),"")</f>
        <v>Solicitar el taxi gratuito al aeropuerto si la reserva alcanza el monto mínimo</v>
      </c>
      <c r="C51" s="24" t="str">
        <f>IFERROR(INDEX(Requerimientos!$C:$C,MATCH($A51,Requerimientos!$A:$A,0)),"")</f>
        <v>Cliente</v>
      </c>
      <c r="D51" s="24" t="str">
        <f>IFERROR(INDEX(Requerimientos!$I:$I,MATCH($A51,Requerimientos!$A:$A,0)),"")</f>
        <v>Presentación prefinal</v>
      </c>
      <c r="E51" s="24" t="str">
        <f>IFERROR(INDEX(Requerimientos!$G:$G,MATCH($A51,Requerimientos!$A:$A,0)),"")</f>
        <v>Alta</v>
      </c>
      <c r="F51" s="24" t="str">
        <f>IFERROR(INDEX(Requerimientos!$K:$K,MATCH($A51,Requerimientos!$A:$A,0)),"")</f>
        <v>Pendiente</v>
      </c>
      <c r="G51" s="24" t="str">
        <f>IFERROR(INDEX(Requerimientos!$L:$L,MATCH($A51,Requerimientos!$A:$A,0)),"")</f>
        <v>No</v>
      </c>
      <c r="H51" s="24" t="str">
        <f>IFERROR(INDEX(Requerimientos!$J:$J,MATCH($A51,Requerimientos!$A:$A,0)),"")</f>
        <v>RF-CL-04</v>
      </c>
    </row>
    <row r="52" spans="1:8" ht="30" customHeight="1" outlineLevel="1" x14ac:dyDescent="0.25">
      <c r="A52" s="25" t="s">
        <v>228</v>
      </c>
      <c r="B52" s="3" t="str">
        <f>IFERROR(INDEX(Requerimientos!$E:$E,MATCH($A52,Requerimientos!$A:$A,0)),"")</f>
        <v>Ver datos vehículo valoración y ubicación del taxista en un mapa</v>
      </c>
      <c r="C52" s="24" t="str">
        <f>IFERROR(INDEX(Requerimientos!$C:$C,MATCH($A52,Requerimientos!$A:$A,0)),"")</f>
        <v>Cliente</v>
      </c>
      <c r="D52" s="24" t="str">
        <f>IFERROR(INDEX(Requerimientos!$I:$I,MATCH($A52,Requerimientos!$A:$A,0)),"")</f>
        <v>Presentación prefinal</v>
      </c>
      <c r="E52" s="24" t="str">
        <f>IFERROR(INDEX(Requerimientos!$G:$G,MATCH($A52,Requerimientos!$A:$A,0)),"")</f>
        <v>Alta</v>
      </c>
      <c r="F52" s="24" t="str">
        <f>IFERROR(INDEX(Requerimientos!$K:$K,MATCH($A52,Requerimientos!$A:$A,0)),"")</f>
        <v>Pendiente</v>
      </c>
      <c r="G52" s="24" t="str">
        <f>IFERROR(INDEX(Requerimientos!$L:$L,MATCH($A52,Requerimientos!$A:$A,0)),"")</f>
        <v>No</v>
      </c>
      <c r="H52" s="24" t="str">
        <f>IFERROR(INDEX(Requerimientos!$J:$J,MATCH($A52,Requerimientos!$A:$A,0)),"")</f>
        <v>RF-TX-05</v>
      </c>
    </row>
    <row r="53" spans="1:8" ht="30" customHeight="1" outlineLevel="1" x14ac:dyDescent="0.25">
      <c r="A53" s="25" t="s">
        <v>201</v>
      </c>
      <c r="B53" s="3" t="str">
        <f>IFERROR(INDEX(Requerimientos!$E:$E,MATCH($A53,Requerimientos!$A:$A,0)),"")</f>
        <v>Recibir el QR del hotel y mostrarlo al llegar</v>
      </c>
      <c r="C53" s="24" t="str">
        <f>IFERROR(INDEX(Requerimientos!$C:$C,MATCH($A53,Requerimientos!$A:$A,0)),"")</f>
        <v>Cliente</v>
      </c>
      <c r="D53" s="24" t="str">
        <f>IFERROR(INDEX(Requerimientos!$I:$I,MATCH($A53,Requerimientos!$A:$A,0)),"")</f>
        <v>Presentación prefinal</v>
      </c>
      <c r="E53" s="24" t="str">
        <f>IFERROR(INDEX(Requerimientos!$G:$G,MATCH($A53,Requerimientos!$A:$A,0)),"")</f>
        <v>Alta</v>
      </c>
      <c r="F53" s="24" t="str">
        <f>IFERROR(INDEX(Requerimientos!$K:$K,MATCH($A53,Requerimientos!$A:$A,0)),"")</f>
        <v>Pendiente</v>
      </c>
      <c r="G53" s="24" t="str">
        <f>IFERROR(INDEX(Requerimientos!$L:$L,MATCH($A53,Requerimientos!$A:$A,0)),"")</f>
        <v>No</v>
      </c>
      <c r="H53" s="24" t="str">
        <f>IFERROR(INDEX(Requerimientos!$J:$J,MATCH($A53,Requerimientos!$A:$A,0)),"")</f>
        <v>RF-CL-08</v>
      </c>
    </row>
    <row r="54" spans="1:8" ht="30" customHeight="1" outlineLevel="1" x14ac:dyDescent="0.25">
      <c r="A54" s="25" t="s">
        <v>234</v>
      </c>
      <c r="B54" s="3" t="str">
        <f>IFERROR(INDEX(Requerimientos!$E:$E,MATCH($A54,Requerimientos!$A:$A,0)),"")</f>
        <v>Calificar al taxista al finalizar el servicio</v>
      </c>
      <c r="C54" s="24" t="str">
        <f>IFERROR(INDEX(Requerimientos!$C:$C,MATCH($A54,Requerimientos!$A:$A,0)),"")</f>
        <v>Cliente</v>
      </c>
      <c r="D54" s="24" t="str">
        <f>IFERROR(INDEX(Requerimientos!$I:$I,MATCH($A54,Requerimientos!$A:$A,0)),"")</f>
        <v>Presentación prefinal</v>
      </c>
      <c r="E54" s="24" t="str">
        <f>IFERROR(INDEX(Requerimientos!$G:$G,MATCH($A54,Requerimientos!$A:$A,0)),"")</f>
        <v>Media</v>
      </c>
      <c r="F54" s="24" t="str">
        <f>IFERROR(INDEX(Requerimientos!$K:$K,MATCH($A54,Requerimientos!$A:$A,0)),"")</f>
        <v>Pendiente</v>
      </c>
      <c r="G54" s="24" t="str">
        <f>IFERROR(INDEX(Requerimientos!$L:$L,MATCH($A54,Requerimientos!$A:$A,0)),"")</f>
        <v>No</v>
      </c>
      <c r="H54" s="24" t="str">
        <f>IFERROR(INDEX(Requerimientos!$J:$J,MATCH($A54,Requerimientos!$A:$A,0)),"")</f>
        <v>RF-TX-07</v>
      </c>
    </row>
    <row r="55" spans="1:8" ht="30" customHeight="1" outlineLevel="1" x14ac:dyDescent="0.25">
      <c r="A55" s="25" t="s">
        <v>270</v>
      </c>
      <c r="B55" s="3" t="str">
        <f>IFERROR(INDEX(Requerimientos!$E:$E,MATCH($A55,Requerimientos!$A:$A,0)),"")</f>
        <v>La ubicación del taxista se actualiza periódicamente durante un servicio activo</v>
      </c>
      <c r="C55" s="24" t="str">
        <f>IFERROR(INDEX(Requerimientos!$C:$C,MATCH($A55,Requerimientos!$A:$A,0)),"")</f>
        <v>Transversal</v>
      </c>
      <c r="D55" s="24" t="str">
        <f>IFERROR(INDEX(Requerimientos!$I:$I,MATCH($A55,Requerimientos!$A:$A,0)),"")</f>
        <v>Presentación prefinal</v>
      </c>
      <c r="E55" s="24" t="str">
        <f>IFERROR(INDEX(Requerimientos!$G:$G,MATCH($A55,Requerimientos!$A:$A,0)),"")</f>
        <v>Alta</v>
      </c>
      <c r="F55" s="24" t="str">
        <f>IFERROR(INDEX(Requerimientos!$K:$K,MATCH($A55,Requerimientos!$A:$A,0)),"")</f>
        <v>Pendiente</v>
      </c>
      <c r="G55" s="24" t="str">
        <f>IFERROR(INDEX(Requerimientos!$L:$L,MATCH($A55,Requerimientos!$A:$A,0)),"")</f>
        <v>NA</v>
      </c>
      <c r="H55" s="24" t="str">
        <f>IFERROR(INDEX(Requerimientos!$J:$J,MATCH($A55,Requerimientos!$A:$A,0)),"")</f>
        <v>RF-TX-05</v>
      </c>
    </row>
    <row r="56" spans="1:8" ht="30" customHeight="1" outlineLevel="1" x14ac:dyDescent="0.25">
      <c r="A56" s="25" t="s">
        <v>273</v>
      </c>
      <c r="B56" s="3" t="str">
        <f>IFERROR(INDEX(Requerimientos!$E:$E,MATCH($A56,Requerimientos!$A:$A,0)),"")</f>
        <v>Si la API de taxistas está caída la app lo informa sin afectar el resto del sistema</v>
      </c>
      <c r="C56" s="24" t="str">
        <f>IFERROR(INDEX(Requerimientos!$C:$C,MATCH($A56,Requerimientos!$A:$A,0)),"")</f>
        <v>Transversal</v>
      </c>
      <c r="D56" s="24" t="str">
        <f>IFERROR(INDEX(Requerimientos!$I:$I,MATCH($A56,Requerimientos!$A:$A,0)),"")</f>
        <v>Presentación prefinal</v>
      </c>
      <c r="E56" s="24" t="str">
        <f>IFERROR(INDEX(Requerimientos!$G:$G,MATCH($A56,Requerimientos!$A:$A,0)),"")</f>
        <v>Alta</v>
      </c>
      <c r="F56" s="24" t="str">
        <f>IFERROR(INDEX(Requerimientos!$K:$K,MATCH($A56,Requerimientos!$A:$A,0)),"")</f>
        <v>Pendiente</v>
      </c>
      <c r="G56" s="24" t="str">
        <f>IFERROR(INDEX(Requerimientos!$L:$L,MATCH($A56,Requerimientos!$A:$A,0)),"")</f>
        <v>NA</v>
      </c>
      <c r="H56" s="24" t="str">
        <f>IFERROR(INDEX(Requerimientos!$J:$J,MATCH($A56,Requerimientos!$A:$A,0)),"")</f>
        <v>RNF-09</v>
      </c>
    </row>
    <row r="57" spans="1:8" ht="30" customHeight="1" outlineLevel="1" x14ac:dyDescent="0.25">
      <c r="A57" s="25" t="s">
        <v>276</v>
      </c>
      <c r="B57" s="3" t="str">
        <f>IFERROR(INDEX(Requerimientos!$E:$E,MATCH($A57,Requerimientos!$A:$A,0)),"")</f>
        <v>La app móvil no accede directamente a la base de datos del sistema de taxistas</v>
      </c>
      <c r="C57" s="24" t="str">
        <f>IFERROR(INDEX(Requerimientos!$C:$C,MATCH($A57,Requerimientos!$A:$A,0)),"")</f>
        <v>Transversal</v>
      </c>
      <c r="D57" s="24" t="str">
        <f>IFERROR(INDEX(Requerimientos!$I:$I,MATCH($A57,Requerimientos!$A:$A,0)),"")</f>
        <v>Presentación prefinal</v>
      </c>
      <c r="E57" s="24" t="str">
        <f>IFERROR(INDEX(Requerimientos!$G:$G,MATCH($A57,Requerimientos!$A:$A,0)),"")</f>
        <v>Alta</v>
      </c>
      <c r="F57" s="24" t="str">
        <f>IFERROR(INDEX(Requerimientos!$K:$K,MATCH($A57,Requerimientos!$A:$A,0)),"")</f>
        <v>Pendiente</v>
      </c>
      <c r="G57" s="24" t="str">
        <f>IFERROR(INDEX(Requerimientos!$L:$L,MATCH($A57,Requerimientos!$A:$A,0)),"")</f>
        <v>NA</v>
      </c>
      <c r="H57" s="24">
        <f>IFERROR(INDEX(Requerimientos!$J:$J,MATCH($A57,Requerimientos!$A:$A,0)),"")</f>
        <v>0</v>
      </c>
    </row>
    <row r="59" spans="1:8" ht="21.95" customHeight="1" x14ac:dyDescent="0.25">
      <c r="A59" s="28" t="s">
        <v>296</v>
      </c>
      <c r="B59" s="29"/>
      <c r="C59" s="29"/>
      <c r="D59" s="29"/>
      <c r="E59" s="29"/>
      <c r="F59" s="29"/>
      <c r="G59" s="29"/>
      <c r="H59" s="29"/>
    </row>
    <row r="60" spans="1:8" ht="30" customHeight="1" outlineLevel="1" x14ac:dyDescent="0.25">
      <c r="A60" s="25" t="s">
        <v>140</v>
      </c>
      <c r="B60" s="3" t="str">
        <f>IFERROR(INDEX(Requerimientos!$E:$E,MATCH($A60,Requerimientos!$A:$A,0)),"")</f>
        <v>Aprobar o habilitar taxistas desde la app web</v>
      </c>
      <c r="C60" s="24" t="str">
        <f>IFERROR(INDEX(Requerimientos!$C:$C,MATCH($A60,Requerimientos!$A:$A,0)),"")</f>
        <v>Superadmin</v>
      </c>
      <c r="D60" s="24" t="str">
        <f>IFERROR(INDEX(Requerimientos!$I:$I,MATCH($A60,Requerimientos!$A:$A,0)),"")</f>
        <v>App web de taxistas</v>
      </c>
      <c r="E60" s="24" t="str">
        <f>IFERROR(INDEX(Requerimientos!$G:$G,MATCH($A60,Requerimientos!$A:$A,0)),"")</f>
        <v>Alta</v>
      </c>
      <c r="F60" s="24" t="str">
        <f>IFERROR(INDEX(Requerimientos!$K:$K,MATCH($A60,Requerimientos!$A:$A,0)),"")</f>
        <v>Pendiente</v>
      </c>
      <c r="G60" s="24" t="str">
        <f>IFERROR(INDEX(Requerimientos!$L:$L,MATCH($A60,Requerimientos!$A:$A,0)),"")</f>
        <v>No</v>
      </c>
      <c r="H60" s="24" t="str">
        <f>IFERROR(INDEX(Requerimientos!$J:$J,MATCH($A60,Requerimientos!$A:$A,0)),"")</f>
        <v>RF-TX-01</v>
      </c>
    </row>
    <row r="61" spans="1:8" ht="30" customHeight="1" outlineLevel="1" x14ac:dyDescent="0.25">
      <c r="A61" s="25" t="s">
        <v>144</v>
      </c>
      <c r="B61" s="3" t="str">
        <f>IFERROR(INDEX(Requerimientos!$E:$E,MATCH($A61,Requerimientos!$A:$A,0)),"")</f>
        <v>Autoregistrarse en la app web con todos sus datos y fotos</v>
      </c>
      <c r="C61" s="24" t="str">
        <f>IFERROR(INDEX(Requerimientos!$C:$C,MATCH($A61,Requerimientos!$A:$A,0)),"")</f>
        <v>Taxista</v>
      </c>
      <c r="D61" s="24" t="str">
        <f>IFERROR(INDEX(Requerimientos!$I:$I,MATCH($A61,Requerimientos!$A:$A,0)),"")</f>
        <v>App web de taxistas</v>
      </c>
      <c r="E61" s="24" t="str">
        <f>IFERROR(INDEX(Requerimientos!$G:$G,MATCH($A61,Requerimientos!$A:$A,0)),"")</f>
        <v>Alta</v>
      </c>
      <c r="F61" s="24" t="str">
        <f>IFERROR(INDEX(Requerimientos!$K:$K,MATCH($A61,Requerimientos!$A:$A,0)),"")</f>
        <v>Pendiente</v>
      </c>
      <c r="G61" s="24" t="str">
        <f>IFERROR(INDEX(Requerimientos!$L:$L,MATCH($A61,Requerimientos!$A:$A,0)),"")</f>
        <v>No</v>
      </c>
      <c r="H61" s="24">
        <f>IFERROR(INDEX(Requerimientos!$J:$J,MATCH($A61,Requerimientos!$A:$A,0)),"")</f>
        <v>0</v>
      </c>
    </row>
  </sheetData>
  <mergeCells count="9">
    <mergeCell ref="A2:H2"/>
    <mergeCell ref="A41:H41"/>
    <mergeCell ref="A1:H1"/>
    <mergeCell ref="A6:H6"/>
    <mergeCell ref="A9:H9"/>
    <mergeCell ref="A3:H3"/>
    <mergeCell ref="A15:H15"/>
    <mergeCell ref="A59:H59"/>
    <mergeCell ref="A20:H20"/>
  </mergeCells>
  <conditionalFormatting sqref="F6:F61">
    <cfRule type="cellIs" dxfId="8" priority="1" operator="equal">
      <formula>"Hecho"</formula>
    </cfRule>
    <cfRule type="cellIs" dxfId="7" priority="2" operator="equal">
      <formula>"En progreso"</formula>
    </cfRule>
    <cfRule type="cellIs" dxfId="6" priority="3" operator="equal">
      <formula>"Bloqueado"</formula>
    </cfRule>
    <cfRule type="cellIs" dxfId="5" priority="4" operator="equal">
      <formula>"Pendiente"</formula>
    </cfRule>
  </conditionalFormatting>
  <conditionalFormatting sqref="G6:G61">
    <cfRule type="cellIs" dxfId="4" priority="5" operator="equal">
      <formula>"Sí"</formula>
    </cfRule>
    <cfRule type="cellIs" dxfId="3" priority="6" operator="equal">
      <formula>"Parcial"</formula>
    </cfRule>
    <cfRule type="cellIs" dxfId="2" priority="7" operator="equal">
      <formula>"No"</formula>
    </cfRule>
  </conditionalFormatting>
  <conditionalFormatting sqref="E6:E61">
    <cfRule type="cellIs" dxfId="1" priority="8" operator="equal">
      <formula>"Alta"</formula>
    </cfRule>
    <cfRule type="cellIs" dxfId="0" priority="9" operator="equal">
      <formula>"Media"</formula>
    </cfRule>
  </conditionalFormatting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Guía</vt:lpstr>
      <vt:lpstr>Resumen</vt:lpstr>
      <vt:lpstr>Requerimientos</vt:lpstr>
      <vt:lpstr>Por rol</vt:lpstr>
      <vt:lpstr>Por entregable</vt:lpstr>
      <vt:lpstr>'Por entregable'!Títulos_a_imprimir</vt:lpstr>
      <vt:lpstr>'Por rol'!Títulos_a_imprimir</vt:lpstr>
      <vt:lpstr>Requerimientos!Títulos_a_imprimir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2026-08-23T23:09:06Z</dcterms:created>
  <dcterms:modified xsi:type="dcterms:W3CDTF">2026-08-23T23:09:24Z</dcterms:modified>
</cp:coreProperties>
</file>